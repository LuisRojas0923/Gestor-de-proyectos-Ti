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0.3\Nomina\REVISION NOMINA\DESCUENTOS DE NOMINA\MEDICINA PREPAGADA\"/>
    </mc:Choice>
  </mc:AlternateContent>
  <xr:revisionPtr revIDLastSave="0" documentId="13_ncr:1_{5A127D9C-768D-4218-8566-C6E77A658078}" xr6:coauthVersionLast="47" xr6:coauthVersionMax="47" xr10:uidLastSave="{00000000-0000-0000-0000-000000000000}"/>
  <bookViews>
    <workbookView xWindow="-120" yWindow="-120" windowWidth="29040" windowHeight="15720" xr2:uid="{B30F9544-47AC-4A29-AFA8-C9311E39B2A1}"/>
  </bookViews>
  <sheets>
    <sheet name="FAC_PREPAGADA" sheetId="1" r:id="rId1"/>
    <sheet name="Hoja1" sheetId="2" r:id="rId2"/>
  </sheets>
  <definedNames>
    <definedName name="_xlnm._FilterDatabase" localSheetId="0" hidden="1">FAC_PREPAGADA!$A$4:$D$4</definedName>
    <definedName name="_xlnm.Print_Area" localSheetId="0">FAC_PREPAGADA!$A$3:$F$26</definedName>
  </definedName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1" l="1"/>
  <c r="D11" i="1"/>
  <c r="D5" i="1"/>
  <c r="D10" i="1"/>
  <c r="D8" i="1" l="1"/>
  <c r="D9" i="1"/>
  <c r="D7" i="1"/>
  <c r="D6" i="1"/>
  <c r="E13" i="1"/>
  <c r="E14" i="1"/>
  <c r="C8" i="2"/>
  <c r="C7" i="2"/>
</calcChain>
</file>

<file path=xl/sharedStrings.xml><?xml version="1.0" encoding="utf-8"?>
<sst xmlns="http://schemas.openxmlformats.org/spreadsheetml/2006/main" count="25" uniqueCount="19">
  <si>
    <t>CEDULA</t>
  </si>
  <si>
    <t>CC BENEFICIARIO</t>
  </si>
  <si>
    <t>NOMBRE</t>
  </si>
  <si>
    <t>OSORIO LENIS HARRY</t>
  </si>
  <si>
    <t>ISABEL CRISTINA ABADIA</t>
  </si>
  <si>
    <t>JOHANNA SOTO CALDERON</t>
  </si>
  <si>
    <t>LUIS CARLOS TORRES OSPINA</t>
  </si>
  <si>
    <t>LINA MARCELA ARANGO QUINTERO</t>
  </si>
  <si>
    <t>Etiquetas de fila</t>
  </si>
  <si>
    <t>Total general</t>
  </si>
  <si>
    <t>Suma de medicina prepagada</t>
  </si>
  <si>
    <t>VALOR MENSUAL</t>
  </si>
  <si>
    <t>TIPO DE PAGO</t>
  </si>
  <si>
    <t>NOMINA</t>
  </si>
  <si>
    <t>DICIEMBRE</t>
  </si>
  <si>
    <t>** Se debe pasar Autorización de descuento en el mes de Diciembre 2025 por el valor de 12 Meses del año 2026 de acuerdo a la factura recibida en el año 2025***</t>
  </si>
  <si>
    <t>medicina prepagada</t>
  </si>
  <si>
    <t>RENATA BALVIN ESCOBAR - JOHN ESCOBAR</t>
  </si>
  <si>
    <t>LUCIANA TRIANA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</si>
</sst>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##,##0_);[Red]\(##,##0\)"/>
    <numFmt numFmtId="166" formatCode="_-&quot;$&quot;\ * #,##0_-;\-&quot;$&quot;\ * #,##0_-;_-&quot;$&quot;\ * &quot;-&quot;??_-;_-@_-"/>
    <numFmt numFmtId="167" formatCode="0;[Red]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Arial"/>
      <family val="2"/>
    </font>
    <font>
      <b/>
      <sz val="10"/>
      <color theme="1"/>
      <name val="Verdana"/>
      <family val="2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2" fillId="0" borderId="0" xfId="0" applyFont="1"/>
    <xf numFmtId="165" fontId="3" fillId="0" borderId="1" xfId="0" applyNumberFormat="1" applyFont="1" applyBorder="1"/>
    <xf numFmtId="0" fontId="3" fillId="0" borderId="1" xfId="0" applyFont="1" applyBorder="1"/>
    <xf numFmtId="0" fontId="2" fillId="0" borderId="0" xfId="0" applyFont="1" applyAlignment="1">
      <alignment wrapText="1"/>
    </xf>
    <xf numFmtId="166" fontId="3" fillId="0" borderId="3" xfId="1" applyNumberFormat="1" applyFont="1" applyBorder="1"/>
    <xf numFmtId="166" fontId="3" fillId="0" borderId="5" xfId="1" applyNumberFormat="1" applyFont="1" applyBorder="1"/>
    <xf numFmtId="167" fontId="3" fillId="0" borderId="2" xfId="0" applyNumberFormat="1" applyFont="1" applyBorder="1"/>
    <xf numFmtId="167" fontId="3" fillId="0" borderId="4" xfId="0" applyNumberFormat="1" applyFont="1" applyBorder="1"/>
    <xf numFmtId="0" fontId="3" fillId="0" borderId="0" xfId="0" applyFont="1"/>
    <xf numFmtId="166" fontId="0" fillId="0" borderId="0" xfId="0" applyNumberFormat="1"/>
    <xf numFmtId="0" fontId="0" fillId="0" borderId="0" xfId="0" pivotButton="1"/>
    <xf numFmtId="167" fontId="0" fillId="0" borderId="0" xfId="0" applyNumberFormat="1" applyAlignment="1">
      <alignment horizontal="left"/>
    </xf>
    <xf numFmtId="0" fontId="0" fillId="0" borderId="6" xfId="0" applyBorder="1"/>
    <xf numFmtId="166" fontId="5" fillId="0" borderId="3" xfId="1" applyNumberFormat="1" applyFont="1" applyBorder="1"/>
    <xf numFmtId="167" fontId="3" fillId="0" borderId="0" xfId="0" applyNumberFormat="1" applyFont="1"/>
    <xf numFmtId="166" fontId="3" fillId="0" borderId="5" xfId="0" applyNumberFormat="1" applyFont="1" applyBorder="1"/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73117D6D-F597-4B7E-AAA1-7D3B3BDEE4A1}"/>
  </cellStyles>
  <dxfs count="12">
    <dxf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6" formatCode="_-&quot;$&quot;\ * #,##0_-;\-&quot;$&quot;\ * #,##0_-;_-&quot;$&quot;\ 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6" formatCode="_-&quot;$&quot;\ * #,##0_-;\-&quot;$&quot;\ * #,##0_-;_-&quot;$&quot;\ 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7" formatCode="0;[Red]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z val="10"/>
        <name val="Verdana"/>
        <family val="2"/>
        <scheme val="none"/>
      </font>
      <numFmt numFmtId="166" formatCode="_-&quot;$&quot;\ * #,##0_-;\-&quot;$&quot;\ * #,##0_-;_-&quot;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6" formatCode="_-&quot;$&quot;\ * #,##0_-;\-&quot;$&quot;\ * #,##0_-;_-&quot;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7" formatCode="0;[Red]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 de Nomina 2" refreshedDate="45615.415633564815" createdVersion="7" refreshedVersion="7" minRefreshableVersion="3" recordCount="12" xr:uid="{E8CBD0A9-5231-47F5-919F-5F3A281F273B}">
  <cacheSource type="worksheet">
    <worksheetSource name="Tabla1"/>
  </cacheSource>
  <cacheFields count="4">
    <cacheField name="CEDULA" numFmtId="167">
      <sharedItems containsSemiMixedTypes="0" containsString="0" containsNumber="1" containsInteger="1" minValue="10025741" maxValue="1143874877" count="6">
        <n v="16794276"/>
        <n v="1143874877"/>
        <n v="14836440"/>
        <n v="10025741"/>
        <n v="1143840049"/>
        <n v="1107098788"/>
      </sharedItems>
    </cacheField>
    <cacheField name="CC BENEFICIARIO" numFmtId="0">
      <sharedItems containsSemiMixedTypes="0" containsString="0" containsNumber="1" containsInteger="1" minValue="10025741" maxValue="1232827665"/>
    </cacheField>
    <cacheField name="NOMBRE" numFmtId="0">
      <sharedItems count="12">
        <s v="TORRES AGUDELO ALEXANDER      "/>
        <s v="ISABELLA TORRES ABADIA"/>
        <s v="MARIA ERIKA BARONA"/>
        <s v="SAMUEL TORRES BARONA"/>
        <s v="TORRES ABADIA CAMILO ANDRÉS"/>
        <s v="OSORIO LENIS HARRY"/>
        <s v="ISABEL CRISTINA ABADIA"/>
        <s v="JOHANNA SOTO CALDERON"/>
        <s v="TRIANA CORREA JAIME HUMBERTO"/>
        <s v="LUCIANA TRIANA SOLANO"/>
        <s v="LUIS CARLOS TORRES OSPINA"/>
        <s v="LINA MARCELA ARANGO QUINTERO"/>
      </sharedItems>
    </cacheField>
    <cacheField name="medicina prepagada" numFmtId="166">
      <sharedItems containsSemiMixedTypes="0" containsString="0" containsNumber="1" containsInteger="1" minValue="0" maxValue="25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6794276"/>
    <x v="0"/>
    <n v="0"/>
  </r>
  <r>
    <x v="0"/>
    <n v="1107847757"/>
    <x v="1"/>
    <n v="121500"/>
  </r>
  <r>
    <x v="0"/>
    <n v="1118285192"/>
    <x v="2"/>
    <n v="126500"/>
  </r>
  <r>
    <x v="0"/>
    <n v="1232827665"/>
    <x v="3"/>
    <n v="126500"/>
  </r>
  <r>
    <x v="1"/>
    <n v="1143874877"/>
    <x v="4"/>
    <n v="121500"/>
  </r>
  <r>
    <x v="2"/>
    <n v="14836440"/>
    <x v="5"/>
    <n v="126500"/>
  </r>
  <r>
    <x v="2"/>
    <n v="67006426"/>
    <x v="6"/>
    <n v="121500"/>
  </r>
  <r>
    <x v="2"/>
    <n v="31583452"/>
    <x v="7"/>
    <n v="121500"/>
  </r>
  <r>
    <x v="3"/>
    <n v="10025741"/>
    <x v="8"/>
    <n v="0"/>
  </r>
  <r>
    <x v="3"/>
    <n v="1042255588"/>
    <x v="9"/>
    <n v="253000"/>
  </r>
  <r>
    <x v="4"/>
    <n v="1143840049"/>
    <x v="10"/>
    <n v="78000"/>
  </r>
  <r>
    <x v="5"/>
    <n v="1107098788"/>
    <x v="11"/>
    <n v="7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A1691-5D01-4054-BD15-FC94D916888C}" name="TablaDinámica4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/>
  <pivotFields count="4">
    <pivotField axis="axisRow" numFmtId="167" showAll="0">
      <items count="7">
        <item x="3"/>
        <item sd="0" x="2"/>
        <item sd="0" x="0"/>
        <item x="5"/>
        <item x="4"/>
        <item sd="0" x="1"/>
        <item t="default"/>
      </items>
    </pivotField>
    <pivotField showAll="0"/>
    <pivotField showAll="0">
      <items count="13">
        <item x="6"/>
        <item x="1"/>
        <item x="7"/>
        <item x="11"/>
        <item x="9"/>
        <item x="10"/>
        <item x="2"/>
        <item x="5"/>
        <item x="3"/>
        <item x="4"/>
        <item x="0"/>
        <item x="8"/>
        <item t="default"/>
      </items>
    </pivotField>
    <pivotField dataField="1" numFmtId="166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medicina prepagad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B7F42-6E2C-4B97-8170-35A42F39C21D}" name="Tabla1" displayName="Tabla1" ref="A4:F15" totalsRowCount="1" headerRowDxfId="11" headerRowBorderDxfId="10" tableBorderDxfId="9" totalsRowBorderDxfId="8">
  <autoFilter ref="A4:F14" xr:uid="{5B7B7F42-6E2C-4B97-8170-35A42F39C21D}"/>
  <tableColumns count="6">
    <tableColumn id="1" xr3:uid="{0ED01635-3440-432A-BD84-22041FE8B4D6}" name="CEDULA" dataDxfId="7" totalsRowDxfId="4"/>
    <tableColumn id="2" xr3:uid="{D9991C8F-67B2-4F0A-9380-8EB6F7169F3C}" name="CC BENEFICIARIO"/>
    <tableColumn id="3" xr3:uid="{9FECF497-CC4A-465E-A4F7-A7C6CE7D2181}" name="NOMBRE" totalsRowDxfId="3"/>
    <tableColumn id="4" xr3:uid="{C581C5E2-2D86-435F-A06E-9AE2FFD5956C}" name="medicina prepagada" dataDxfId="6" totalsRowDxfId="2" dataCellStyle="Moneda"/>
    <tableColumn id="5" xr3:uid="{A277CCEB-1FDE-4D8E-AD23-39274825D5D6}" name="VALOR MENSUAL" totalsRowFunction="custom" dataDxfId="5" totalsRowDxfId="1" dataCellStyle="Moneda">
      <calculatedColumnFormula>+Tabla1[[#This Row],[medicina prepagada]]*2</calculatedColumnFormula>
      <totalsRowFormula>+SUBTOTAL(9,Tabla1[VALOR MENSUAL])</totalsRowFormula>
    </tableColumn>
    <tableColumn id="6" xr3:uid="{3483C9EF-EFBE-4FFD-AD06-9B8444D1C16B}" name="TIPO DE PAGO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1915EE-E6E4-48FF-A61F-5FA104255759}">
  <we:reference id="wa104382047" version="1.0.2.7" store="es-ES" storeType="OMEX"/>
  <we:alternateReferences>
    <we:reference id="WA104382047" version="1.0.2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_xldudf_MAPCITE_DISTANCETO</we:customFunctionIds>
        <we:customFunctionIds>_xldudf_MAPCITE_DISTANCETOFURTHEST</we:customFunctionIds>
        <we:customFunctionIds>_xldudf_MAPCITE_DISTANCETONEAREST</we:customFunctionIds>
        <we:customFunctionIds>_xldudf_MAPCITE_FINDFURTHEST</we:customFunctionIds>
        <we:customFunctionIds>_xldudf_MAPCITE_FINDNEAREST</we:customFunctionIds>
        <we:customFunctionIds>_xldudf_MAPCITE_AVERAGEINRADIUS</we:customFunctionIds>
        <we:customFunctionIds>_xldudf_MAPCITE_COUNTINRADIUS</we:customFunctionIds>
        <we:customFunctionIds>_xldudf_MAPCITE_MAXINRADIUS</we:customFunctionIds>
        <we:customFunctionIds>_xldudf_MAPCITE_MININRADIUS</we:customFunctionIds>
        <we:customFunctionIds>_xldudf_MAPCITE_SUMINRADIUS</we:customFunctionIds>
        <we:customFunctionIds>_xldudf_MAPCITE_CO2EFREIGHT</we:customFunctionIds>
        <we:customFunctionIds>_xldudf_MAPCITE_CO2EBUSINESSTRAVEL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9D7-71C3-4D96-8701-D4A884D55871}">
  <sheetPr codeName="Hoja1"/>
  <dimension ref="A1:J16"/>
  <sheetViews>
    <sheetView tabSelected="1" zoomScaleNormal="100" zoomScaleSheetLayoutView="100" workbookViewId="0">
      <selection activeCell="E13" sqref="E13"/>
    </sheetView>
  </sheetViews>
  <sheetFormatPr baseColWidth="10" defaultRowHeight="15" x14ac:dyDescent="0.25"/>
  <cols>
    <col min="1" max="1" width="13.140625" customWidth="1"/>
    <col min="2" max="2" width="22.5703125" customWidth="1"/>
    <col min="3" max="3" width="41.5703125" customWidth="1"/>
    <col min="4" max="4" width="25.85546875" customWidth="1"/>
    <col min="5" max="5" width="15.5703125" customWidth="1"/>
    <col min="8" max="8" width="15.5703125" customWidth="1"/>
    <col min="9" max="9" width="15.85546875" customWidth="1"/>
    <col min="10" max="10" width="19.28515625" customWidth="1"/>
  </cols>
  <sheetData>
    <row r="1" spans="1:10" x14ac:dyDescent="0.25">
      <c r="A1" s="17" t="s">
        <v>15</v>
      </c>
    </row>
    <row r="3" spans="1:10" x14ac:dyDescent="0.25">
      <c r="A3" t="s">
        <v>14</v>
      </c>
    </row>
    <row r="4" spans="1:10" s="1" customFormat="1" ht="37.5" x14ac:dyDescent="0.3">
      <c r="A4" s="18" t="s">
        <v>0</v>
      </c>
      <c r="B4" s="18" t="s">
        <v>1</v>
      </c>
      <c r="C4" s="18" t="s">
        <v>2</v>
      </c>
      <c r="D4" s="19" t="s">
        <v>16</v>
      </c>
      <c r="E4" s="18" t="s">
        <v>11</v>
      </c>
      <c r="F4" s="18" t="s">
        <v>12</v>
      </c>
      <c r="H4" s="4"/>
      <c r="I4" s="4"/>
      <c r="J4" s="4"/>
    </row>
    <row r="5" spans="1:10" x14ac:dyDescent="0.25">
      <c r="A5" s="7">
        <v>14836440</v>
      </c>
      <c r="B5" s="2">
        <v>14836440</v>
      </c>
      <c r="C5" s="3" t="s">
        <v>3</v>
      </c>
      <c r="D5" s="5">
        <f>+Tabla1[[#This Row],[VALOR MENSUAL]]/2</f>
        <v>141250</v>
      </c>
      <c r="E5" s="5">
        <v>282500</v>
      </c>
      <c r="F5" t="s">
        <v>13</v>
      </c>
    </row>
    <row r="6" spans="1:10" x14ac:dyDescent="0.25">
      <c r="A6" s="7">
        <v>14836440</v>
      </c>
      <c r="B6" s="3">
        <v>67006426</v>
      </c>
      <c r="C6" s="3" t="s">
        <v>4</v>
      </c>
      <c r="D6" s="5">
        <f>+Tabla1[[#This Row],[VALOR MENSUAL]]/2</f>
        <v>141250</v>
      </c>
      <c r="E6" s="5">
        <v>282500</v>
      </c>
      <c r="F6" t="s">
        <v>13</v>
      </c>
    </row>
    <row r="7" spans="1:10" x14ac:dyDescent="0.25">
      <c r="A7" s="7">
        <v>14836440</v>
      </c>
      <c r="B7" s="3">
        <v>31583452</v>
      </c>
      <c r="C7" s="3" t="s">
        <v>5</v>
      </c>
      <c r="D7" s="5">
        <f>+Tabla1[[#This Row],[VALOR MENSUAL]]/2</f>
        <v>141250</v>
      </c>
      <c r="E7" s="5">
        <v>282500</v>
      </c>
      <c r="F7" t="s">
        <v>13</v>
      </c>
    </row>
    <row r="8" spans="1:10" x14ac:dyDescent="0.25">
      <c r="A8" s="8">
        <v>1143840049</v>
      </c>
      <c r="B8" s="8">
        <v>1143840049</v>
      </c>
      <c r="C8" t="s">
        <v>6</v>
      </c>
      <c r="D8" s="6">
        <f>+Tabla1[[#This Row],[VALOR MENSUAL]]/2</f>
        <v>91000</v>
      </c>
      <c r="E8" s="14">
        <v>182000</v>
      </c>
      <c r="F8" t="s">
        <v>13</v>
      </c>
    </row>
    <row r="9" spans="1:10" x14ac:dyDescent="0.25">
      <c r="A9" s="8">
        <v>1107098788</v>
      </c>
      <c r="B9" s="8">
        <v>1107098788</v>
      </c>
      <c r="C9" t="s">
        <v>7</v>
      </c>
      <c r="D9" s="6">
        <f>+Tabla1[[#This Row],[VALOR MENSUAL]]/2</f>
        <v>91000</v>
      </c>
      <c r="E9" s="14">
        <v>182000</v>
      </c>
      <c r="F9" t="s">
        <v>13</v>
      </c>
    </row>
    <row r="10" spans="1:10" x14ac:dyDescent="0.25">
      <c r="A10" s="8">
        <v>94552929</v>
      </c>
      <c r="B10" s="9">
        <v>1109939899</v>
      </c>
      <c r="C10" t="s">
        <v>17</v>
      </c>
      <c r="D10" s="6">
        <f>+Tabla1[[#This Row],[VALOR MENSUAL]]/2</f>
        <v>141250</v>
      </c>
      <c r="E10" s="5">
        <v>282500</v>
      </c>
      <c r="F10" t="s">
        <v>13</v>
      </c>
    </row>
    <row r="11" spans="1:10" x14ac:dyDescent="0.25">
      <c r="A11" s="8">
        <v>10025741</v>
      </c>
      <c r="B11" s="9">
        <v>1042255588</v>
      </c>
      <c r="C11" t="s">
        <v>18</v>
      </c>
      <c r="D11" s="6">
        <f>+Tabla1[[#This Row],[VALOR MENSUAL]]/2</f>
        <v>292500</v>
      </c>
      <c r="E11" s="6">
        <v>585000</v>
      </c>
      <c r="F11" t="s">
        <v>13</v>
      </c>
    </row>
    <row r="12" spans="1:10" x14ac:dyDescent="0.25">
      <c r="A12" s="8"/>
      <c r="B12" s="9"/>
      <c r="D12" s="6"/>
      <c r="E12" s="6"/>
    </row>
    <row r="13" spans="1:10" x14ac:dyDescent="0.25">
      <c r="A13" s="8"/>
      <c r="B13" s="15"/>
      <c r="D13" s="6"/>
      <c r="E13" s="6">
        <f>+Tabla1[[#This Row],[medicina prepagada]]*2</f>
        <v>0</v>
      </c>
    </row>
    <row r="14" spans="1:10" x14ac:dyDescent="0.25">
      <c r="A14" s="8"/>
      <c r="B14" s="15"/>
      <c r="D14" s="6"/>
      <c r="E14" s="6">
        <f>+Tabla1[[#This Row],[medicina prepagada]]*2</f>
        <v>0</v>
      </c>
    </row>
    <row r="15" spans="1:10" ht="13.5" customHeight="1" x14ac:dyDescent="0.25">
      <c r="A15" s="8"/>
      <c r="C15" s="9"/>
      <c r="D15" s="16"/>
      <c r="E15" s="16">
        <f>+SUBTOTAL(9,Tabla1[VALOR MENSUAL])</f>
        <v>2079000</v>
      </c>
      <c r="F15" s="13"/>
    </row>
    <row r="16" spans="1:10" x14ac:dyDescent="0.25">
      <c r="D16" s="10"/>
    </row>
  </sheetData>
  <dataValidations count="1">
    <dataValidation type="whole" allowBlank="1" showInputMessage="1" showErrorMessage="1" errorTitle="SOLO NÚMEROS" error="SOLO NÚMEROS" sqref="A7 A5:B6" xr:uid="{DB80458C-5B0E-42E6-9197-F50F05FFC310}">
      <formula1>1</formula1>
      <formula2>100000000000000</formula2>
    </dataValidation>
  </dataValidations>
  <pageMargins left="0.7" right="0.7" top="0.75" bottom="0.75" header="0.3" footer="0.3"/>
  <pageSetup paperSize="9" scale="6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02FD-92B0-4EF0-B4EE-A3BFCA991AB2}">
  <sheetPr codeName="Hoja2"/>
  <dimension ref="A3:C10"/>
  <sheetViews>
    <sheetView workbookViewId="0">
      <selection activeCell="A4" sqref="A4"/>
    </sheetView>
  </sheetViews>
  <sheetFormatPr baseColWidth="10" defaultRowHeight="15" x14ac:dyDescent="0.25"/>
  <cols>
    <col min="1" max="1" width="17.5703125" bestFit="1" customWidth="1"/>
    <col min="2" max="2" width="27.28515625" bestFit="1" customWidth="1"/>
  </cols>
  <sheetData>
    <row r="3" spans="1:3" x14ac:dyDescent="0.25">
      <c r="A3" s="11" t="s">
        <v>8</v>
      </c>
      <c r="B3" t="s">
        <v>10</v>
      </c>
    </row>
    <row r="4" spans="1:3" x14ac:dyDescent="0.25">
      <c r="A4" s="12">
        <v>10025741</v>
      </c>
      <c r="B4">
        <v>253000</v>
      </c>
    </row>
    <row r="5" spans="1:3" x14ac:dyDescent="0.25">
      <c r="A5" s="12">
        <v>14836440</v>
      </c>
      <c r="B5">
        <v>369500</v>
      </c>
    </row>
    <row r="6" spans="1:3" x14ac:dyDescent="0.25">
      <c r="A6" s="12">
        <v>16794276</v>
      </c>
      <c r="B6">
        <v>374500</v>
      </c>
    </row>
    <row r="7" spans="1:3" x14ac:dyDescent="0.25">
      <c r="A7" s="12">
        <v>1107098788</v>
      </c>
      <c r="B7">
        <v>78000</v>
      </c>
      <c r="C7">
        <f>369500-40000</f>
        <v>329500</v>
      </c>
    </row>
    <row r="8" spans="1:3" x14ac:dyDescent="0.25">
      <c r="A8" s="12">
        <v>1143840049</v>
      </c>
      <c r="B8">
        <v>78000</v>
      </c>
      <c r="C8">
        <f>374500-20000</f>
        <v>354500</v>
      </c>
    </row>
    <row r="9" spans="1:3" x14ac:dyDescent="0.25">
      <c r="A9" s="12">
        <v>1143874877</v>
      </c>
      <c r="B9">
        <v>121500</v>
      </c>
      <c r="C9">
        <v>101500</v>
      </c>
    </row>
    <row r="10" spans="1:3" x14ac:dyDescent="0.25">
      <c r="A10" s="12" t="s">
        <v>9</v>
      </c>
      <c r="B10">
        <v>1274500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FAC_PREPAGADA</vt:lpstr>
      <vt:lpstr>Hoja1</vt:lpstr>
      <vt:lpstr>FAC_PREPAGADA!Área_de_impresión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de Nomina 2</dc:creator>
  <cp:lastModifiedBy>Analista de Nomina 2</cp:lastModifiedBy>
  <cp:lastPrinted>2024-12-05T16:16:11Z</cp:lastPrinted>
  <dcterms:created xsi:type="dcterms:W3CDTF">2024-09-25T20:13:13Z</dcterms:created>
  <dcterms:modified xsi:type="dcterms:W3CDTF">2026-02-13T17:39:54Z</dcterms:modified>
</cp:coreProperties>
</file>