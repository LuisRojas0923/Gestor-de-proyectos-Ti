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VISION NOMINA\DESCUENTOS DE NOMINA\POLIZA VEHICULOS\"/>
    </mc:Choice>
  </mc:AlternateContent>
  <xr:revisionPtr revIDLastSave="0" documentId="13_ncr:1_{16CADCC6-9CCD-46D2-A60A-5031EBBB1970}" xr6:coauthVersionLast="47" xr6:coauthVersionMax="47" xr10:uidLastSave="{00000000-0000-0000-0000-000000000000}"/>
  <bookViews>
    <workbookView xWindow="-120" yWindow="-120" windowWidth="29040" windowHeight="15720" activeTab="1" xr2:uid="{7C8AE4CD-49AC-4008-B98E-6D3B1FB4176B}"/>
  </bookViews>
  <sheets>
    <sheet name="Hoja3" sheetId="4" r:id="rId1"/>
    <sheet name="POLIZA" sheetId="1" r:id="rId2"/>
    <sheet name="Hoja1" sheetId="2" r:id="rId3"/>
    <sheet name="Hoja2" sheetId="3" r:id="rId4"/>
  </sheets>
  <definedNames>
    <definedName name="_xlnm._FilterDatabase" localSheetId="1" hidden="1">POLIZA!$A$5:$H$48</definedName>
    <definedName name="_xlnm.Print_Area" localSheetId="1">POLIZA!$A$1:$J$49</definedName>
  </definedNames>
  <calcPr calcId="191029"/>
  <pivotCaches>
    <pivotCache cacheId="16" r:id="rId5"/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1" l="1"/>
  <c r="E46" i="1"/>
  <c r="D48" i="1"/>
  <c r="E45" i="1"/>
  <c r="E37" i="1"/>
  <c r="E33" i="1"/>
  <c r="E27" i="1"/>
  <c r="E44" i="1"/>
  <c r="E43" i="1" l="1"/>
  <c r="E42" i="1"/>
  <c r="E41" i="1"/>
  <c r="E40" i="1"/>
  <c r="E39" i="1"/>
  <c r="E38" i="1"/>
  <c r="E36" i="1"/>
  <c r="E35" i="1"/>
  <c r="E31" i="1" l="1"/>
  <c r="E30" i="1"/>
  <c r="E34" i="1"/>
  <c r="E32" i="1"/>
  <c r="E29" i="1"/>
  <c r="E28" i="1"/>
  <c r="E26" i="1"/>
  <c r="E25" i="1"/>
  <c r="E24" i="1"/>
  <c r="E21" i="1"/>
  <c r="E20" i="1"/>
  <c r="E19" i="1"/>
  <c r="E18" i="1"/>
  <c r="E17" i="1"/>
  <c r="E16" i="1"/>
  <c r="E15" i="1"/>
  <c r="E14" i="1"/>
  <c r="E13" i="1"/>
  <c r="E12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<sst xmlns="http://schemas.openxmlformats.org/spreadsheetml/2006/main" count="1056" uniqueCount="452">
  <si>
    <t>INICIA</t>
  </si>
  <si>
    <t>SEGURO DE VEHICULO</t>
  </si>
  <si>
    <t>FINALIZA</t>
  </si>
  <si>
    <t>INDUSTRIAS REFRIDCOL S. A.</t>
  </si>
  <si>
    <t>CUENTA</t>
  </si>
  <si>
    <t>CEDULA</t>
  </si>
  <si>
    <t>NOMBRE Y APELLIDOS</t>
  </si>
  <si>
    <t>VALOR POLIZA AÑO</t>
  </si>
  <si>
    <t>VALOR CUTOA QUINENAL</t>
  </si>
  <si>
    <t>PLACA</t>
  </si>
  <si>
    <t>MHN781</t>
  </si>
  <si>
    <t>MLU91G</t>
  </si>
  <si>
    <t>RHN458</t>
  </si>
  <si>
    <t>HYK357</t>
  </si>
  <si>
    <t>PZD98G</t>
  </si>
  <si>
    <t>LJC71E</t>
  </si>
  <si>
    <t>FSO364</t>
  </si>
  <si>
    <t>FWN235</t>
  </si>
  <si>
    <t>KKS83G</t>
  </si>
  <si>
    <t>YGN27E</t>
  </si>
  <si>
    <t>IFY037</t>
  </si>
  <si>
    <t>EFO673</t>
  </si>
  <si>
    <t>ZMG37G</t>
  </si>
  <si>
    <t>IPW244</t>
  </si>
  <si>
    <t>GDN528</t>
  </si>
  <si>
    <t>LYQ841</t>
  </si>
  <si>
    <t>NOMBRE</t>
  </si>
  <si>
    <t>CARGO ESTABLECIMIENTO</t>
  </si>
  <si>
    <t>EMPRESA</t>
  </si>
  <si>
    <t>ESTADO</t>
  </si>
  <si>
    <t>AGUIRRE ALVARADO JOSE ANGEL</t>
  </si>
  <si>
    <t>AUXILIAR DE SERVIOS GENERALES</t>
  </si>
  <si>
    <t>REFRIDCOL</t>
  </si>
  <si>
    <t>A</t>
  </si>
  <si>
    <t>DORADO GUATA GEOVANY</t>
  </si>
  <si>
    <t>TECNICO DE ARMADO</t>
  </si>
  <si>
    <t>CLEVES REINOSO LEONARDO</t>
  </si>
  <si>
    <t xml:space="preserve">OFICIOS VARIOS </t>
  </si>
  <si>
    <t>IBARRA CASTILLO ANDRES FELIPE</t>
  </si>
  <si>
    <t xml:space="preserve">INGENIERO RESIDENTE </t>
  </si>
  <si>
    <t>IZQUIERDO CARDONA OSCAR HERNAN</t>
  </si>
  <si>
    <t xml:space="preserve">INGENIERO DE PROYECTOS </t>
  </si>
  <si>
    <t>CUERVO AVILA HENRY OSVALDO</t>
  </si>
  <si>
    <t>ASESOR COMERCIAL</t>
  </si>
  <si>
    <t xml:space="preserve">RESTREPO GARCIA OMAR ANDRES                       </t>
  </si>
  <si>
    <t xml:space="preserve">QUINTERO TAPASCO EMILCIADES </t>
  </si>
  <si>
    <t>AYUDANTE CALIFICADO</t>
  </si>
  <si>
    <t>CASTILLA ROMERO JULIO CESAR</t>
  </si>
  <si>
    <t>INGENIERO REGIONAL COSTA</t>
  </si>
  <si>
    <t xml:space="preserve">GUTIERREZ OCHOA FRANCISCO JAVIER                  </t>
  </si>
  <si>
    <t>TECNICO DE REFRIGERACION</t>
  </si>
  <si>
    <t>TRIANA CORREA JAIME HUMBERTO</t>
  </si>
  <si>
    <t xml:space="preserve">DIRECTOR DIVISION DE AMONIACO </t>
  </si>
  <si>
    <t>TORO ALZATE BRALLAN ALEXANDER</t>
  </si>
  <si>
    <t xml:space="preserve">GESTOR DE PLANEACIÓN </t>
  </si>
  <si>
    <t>AGUDELO FRANCO OSCAR ALFONSO</t>
  </si>
  <si>
    <t xml:space="preserve">VANEGAS HERNANDEZ MAURICIO                        </t>
  </si>
  <si>
    <t>JEFE CONTROL PRESUPUESTAL</t>
  </si>
  <si>
    <t>ROMERO CRUZ ALBERT ANDRES</t>
  </si>
  <si>
    <t>JEFE DE SEGURIDAD</t>
  </si>
  <si>
    <t>OSORIO LENIS HARRY</t>
  </si>
  <si>
    <t>DIRECTOR DE COSTOS Y CONTROL PRESUPUESTAL</t>
  </si>
  <si>
    <t>TORRES ALEGRIAS GUILLERMO</t>
  </si>
  <si>
    <t>GERENTE GENERAL</t>
  </si>
  <si>
    <t xml:space="preserve">MARIN RAMIREZ HERMIDES                            </t>
  </si>
  <si>
    <t>PAILERO</t>
  </si>
  <si>
    <t>OSORIO GUEVARA WILSON</t>
  </si>
  <si>
    <t>OSORIO GUEVARA WILMAR</t>
  </si>
  <si>
    <t xml:space="preserve">CERON BOLAÑOS CESAR                               </t>
  </si>
  <si>
    <t xml:space="preserve">DIRECTOR DE PROYECTOS </t>
  </si>
  <si>
    <t>PORTOCARRERO GUTIERREZ GERARDO</t>
  </si>
  <si>
    <t>CONDUCTOR</t>
  </si>
  <si>
    <t>ROSERO HURTADO LINIERE RUBEN</t>
  </si>
  <si>
    <t>CERON BARRERA ALVARO HERNANDO</t>
  </si>
  <si>
    <t>COORDINADOR DE DESPACHOS</t>
  </si>
  <si>
    <t>VIDAL VARGAS OMAR</t>
  </si>
  <si>
    <t>AUXILIAR DE ALMACEN</t>
  </si>
  <si>
    <t>PACHECO JARAMILLO HUBER HUMBERTO</t>
  </si>
  <si>
    <t>COORDINADOR DE ALMACEN</t>
  </si>
  <si>
    <t>ROJAS MORENO GERMAN ORLANDO</t>
  </si>
  <si>
    <t>AUXILIAR DE OFICIOS VARIOS</t>
  </si>
  <si>
    <t>SEVILLANO VILLOTA LUIS FERNANDO</t>
  </si>
  <si>
    <t>QUINAYAS MORENO ARBEY</t>
  </si>
  <si>
    <t>GALVIS LOPEZ RICARDO</t>
  </si>
  <si>
    <t>AGUDELO HENAO OSCAR EMILIO</t>
  </si>
  <si>
    <t xml:space="preserve">ANALISTA DE CONTROL PRESUPUESTAL </t>
  </si>
  <si>
    <t>AGUDELO QUIÑONEZ ROBERTO ANTONIO</t>
  </si>
  <si>
    <t>MIÑO NOGUERA EDISON MIGUEL EDUARDO</t>
  </si>
  <si>
    <t>JEFE DE COSTOS</t>
  </si>
  <si>
    <t>DELGADO REINA ALEXANDER</t>
  </si>
  <si>
    <t xml:space="preserve">DIRECTOR DE OPERACIONES </t>
  </si>
  <si>
    <t>TORRES AGUDELO ALEXANDER</t>
  </si>
  <si>
    <t>GERENTE DE PRODUCCION</t>
  </si>
  <si>
    <t xml:space="preserve">TORRES BERMUDEZ FAIVER ANDRES </t>
  </si>
  <si>
    <t>ANALISTA DE ALMACEN</t>
  </si>
  <si>
    <t>BERMUDEZ GONZALEZ OSCAR EDUARDO</t>
  </si>
  <si>
    <t>INGENIERO DE DISEÑO Y PRESUPUESTOS</t>
  </si>
  <si>
    <t xml:space="preserve">CERON BERNAL JOSE FRANCISCO </t>
  </si>
  <si>
    <t>MARULANDA CORREA JHON HENRY</t>
  </si>
  <si>
    <t>JEFE TECNICO DE AISLAMIENTO</t>
  </si>
  <si>
    <t>CORTES VERA LINA MARIA</t>
  </si>
  <si>
    <t>ANALISTA CONTABLE SENIOR</t>
  </si>
  <si>
    <t>AGUDELO DE TORRES GLORIA</t>
  </si>
  <si>
    <t>JEFE DE TESORERIA</t>
  </si>
  <si>
    <t xml:space="preserve">SANCHEZ MUÑOZ TATIANA                             </t>
  </si>
  <si>
    <t>CONTADOR JUNIOR</t>
  </si>
  <si>
    <t>RODRIGUEZ MARTINEZ GLADYS AMPARO</t>
  </si>
  <si>
    <t>DIRECTORA DE CONTABILIDAD</t>
  </si>
  <si>
    <t>PARRA TRUJILLO SANDRA LILIANA</t>
  </si>
  <si>
    <t>JEFE DE COMPRAS</t>
  </si>
  <si>
    <t>MUÑOZ RODRIGUEZ MONICA ALEXANDRA</t>
  </si>
  <si>
    <t>JEFE DE NEGOCIACIONES ESTRATEGICAS</t>
  </si>
  <si>
    <t>HIDALGO CRIOLLO JANETH</t>
  </si>
  <si>
    <t xml:space="preserve">AUXILIAR OFICIOS VARIOS </t>
  </si>
  <si>
    <t>CASTRILLON GRISALES VIVIAN YULIETH</t>
  </si>
  <si>
    <t xml:space="preserve">ASESOR COMERCIAL </t>
  </si>
  <si>
    <t>BOTERO SULBARAN ROSANA</t>
  </si>
  <si>
    <t>ASESORA COMERCIAL</t>
  </si>
  <si>
    <t>MANTILLA RODRIGUEZ MONICA LUCIA</t>
  </si>
  <si>
    <t>ASESORA DE VENTAS CONSULTIVA</t>
  </si>
  <si>
    <t>TORRES AGUDELO MARIBELL</t>
  </si>
  <si>
    <t>GERENTE ADMINISTRATIVA Y FINANCIERA</t>
  </si>
  <si>
    <t>OCAMPO RAMIREZ ANGELA MARIA</t>
  </si>
  <si>
    <t xml:space="preserve">DIRECTOR DE MERCADEO </t>
  </si>
  <si>
    <t>RIVAS ALBORNOZ ALEJANDRA CONSUELO</t>
  </si>
  <si>
    <t>AUXILIAR CONTABLE</t>
  </si>
  <si>
    <t>MULCUE CLAUDIA PATRICIA</t>
  </si>
  <si>
    <t>ASISTENTE  COMERCIAL</t>
  </si>
  <si>
    <t>AGUAS MONTES GISEL</t>
  </si>
  <si>
    <t>JEFE ADMINISTRATIVA ADN</t>
  </si>
  <si>
    <t xml:space="preserve">CISNEROS SAITA DAMARIZ </t>
  </si>
  <si>
    <t>AUXILIAR DE TESORERIA</t>
  </si>
  <si>
    <t>ECHAVARRIA LOAIZA JUAN DIEGO</t>
  </si>
  <si>
    <t>INGENIERO RESIDENTE</t>
  </si>
  <si>
    <t>FERNANDEZ ROJO EDGAR OSWALDO</t>
  </si>
  <si>
    <t>TUBERO</t>
  </si>
  <si>
    <t>SINCELEJO VARGAS LUIS FERNANDO</t>
  </si>
  <si>
    <t xml:space="preserve">RODRIGUEZ ESMERAL WILMAR ALBERTO                  </t>
  </si>
  <si>
    <t>MENDEZ VIDES ALEXANDER DE JESUS</t>
  </si>
  <si>
    <t>SOLDADOR</t>
  </si>
  <si>
    <t>MORELO MIGUEL DE JESUS</t>
  </si>
  <si>
    <t>MORALES MORILLO ENRIQUE ALBERTO</t>
  </si>
  <si>
    <t>OPERARIO DE AISLAMIENTO</t>
  </si>
  <si>
    <t>QUICENO LLANO NELSON</t>
  </si>
  <si>
    <t>AYUDANTE DE ARMADO</t>
  </si>
  <si>
    <t xml:space="preserve">LAMPREA AVILA RICARDO                      </t>
  </si>
  <si>
    <t xml:space="preserve">PORRAS MATALLANA GABRIEL HERNAN                   </t>
  </si>
  <si>
    <t>BENAVIDES SANCHEZ NESTOR AUGUSTO</t>
  </si>
  <si>
    <t>HIGUERA LUCUARA CHRISTIAN CAMILO</t>
  </si>
  <si>
    <t>COORDINADOR DE PLANEACION</t>
  </si>
  <si>
    <t>NEIRA CHAVARRO JOHN JAIRO</t>
  </si>
  <si>
    <t xml:space="preserve">CAMACHO ABRIL JAIDER ALEJANDRO </t>
  </si>
  <si>
    <t>INGENIERO DE DESARROLLO AMONIACO</t>
  </si>
  <si>
    <t xml:space="preserve">QUIÑONES CORTES HAROLD ERNEY  </t>
  </si>
  <si>
    <t>AYUDANTE</t>
  </si>
  <si>
    <t xml:space="preserve">MORA TORRES WILSON JAVIER </t>
  </si>
  <si>
    <t>SUPERVISOR TECNICO</t>
  </si>
  <si>
    <t>BONILLA CAÑIZARES VIRGILIO</t>
  </si>
  <si>
    <t>TROCCOLI ALVARO</t>
  </si>
  <si>
    <t>JEFE NACIONAL DE REFRIGERACION</t>
  </si>
  <si>
    <t>REYES PEÑA HERNAN DARIO</t>
  </si>
  <si>
    <t>DIRECTOR LOGISTICO</t>
  </si>
  <si>
    <t>ZUÑIGA CARDONA JAMEZ</t>
  </si>
  <si>
    <t>OFICIAL ARMADO</t>
  </si>
  <si>
    <t>GARCES BALANTA ISRAEL</t>
  </si>
  <si>
    <t>CERON VIVAS EDWIN ROVIER</t>
  </si>
  <si>
    <t xml:space="preserve">SUPERVISOR DE PLANTA AISLAMIENTO TERMICOS </t>
  </si>
  <si>
    <t>RODRIGUEZ REVELO PEDRO NEL</t>
  </si>
  <si>
    <t>DIRECTOR ADMINISTRATIVO</t>
  </si>
  <si>
    <t>PRECIADO SEVILLANO JOSE ROBINSON</t>
  </si>
  <si>
    <t>ROSERO SOTO LUIS HUMBERTO</t>
  </si>
  <si>
    <t>ZAPATA ARROYAVE EDWAR FABIAN</t>
  </si>
  <si>
    <t>VIVAS PERLAZA JOSE FREDDY</t>
  </si>
  <si>
    <t>DIRECTOR DE ADN</t>
  </si>
  <si>
    <t>GALLEGO CASTELLANOS EDWAR</t>
  </si>
  <si>
    <t>OPERARIO PRODUCCION</t>
  </si>
  <si>
    <t>ROJAS GUERRERO OMAR HUMBERTO</t>
  </si>
  <si>
    <t>CHARA GONGORA OIVER</t>
  </si>
  <si>
    <t>DIRECTOR COMERCIAL</t>
  </si>
  <si>
    <t xml:space="preserve">TORRES AGUDELO HECTOR FABIO </t>
  </si>
  <si>
    <t>GERENTE COMERCIAL</t>
  </si>
  <si>
    <t>ESCOBAR AGUDELO JOHN JAIRO</t>
  </si>
  <si>
    <t>DIRECTOR NACIONAL DE VENTAS</t>
  </si>
  <si>
    <t>BUSTAMANTE CASTAÑO WILDER FRAVEL</t>
  </si>
  <si>
    <t>TECNICO ELECTRICISTA</t>
  </si>
  <si>
    <t>DURANGO RAMIREZ JESUS DAVID</t>
  </si>
  <si>
    <t>ZAPATA HIGUITA HAIBER</t>
  </si>
  <si>
    <t>RICARDO RAMIREZ DAVID JOSE</t>
  </si>
  <si>
    <t>COORDINADOR REGIONAL COSTA II</t>
  </si>
  <si>
    <t>BAOZ BOLAÑOS ASTRID CAMILA</t>
  </si>
  <si>
    <t>ANALISTA DE CARTERA Y FACTURACION ADN</t>
  </si>
  <si>
    <t>ZAPATA CALVO WILFRAN ALINCER</t>
  </si>
  <si>
    <t>MEDINA NAVARRO ANDRES FELIPE</t>
  </si>
  <si>
    <t>DIBUJANTE</t>
  </si>
  <si>
    <t>UNAS GONZALEZ EMILY TATIANA</t>
  </si>
  <si>
    <t>APRENDIZ UNIVERSITARIA ETAPA PRACTICA</t>
  </si>
  <si>
    <t xml:space="preserve">CASTAÑEDA HENAO DANIELA </t>
  </si>
  <si>
    <t>ANALISTA FINANCIERA</t>
  </si>
  <si>
    <t>BENALCAZAR SANDOVAL JUAN  CAMILO</t>
  </si>
  <si>
    <t>OPERARIO DE TABLEROS ELECTRICOS</t>
  </si>
  <si>
    <t xml:space="preserve">HENAO ANGULO JUAN FELIPE                          </t>
  </si>
  <si>
    <t xml:space="preserve">OPERARIO TABLEROS ELECTRICOS </t>
  </si>
  <si>
    <t>CAMPO ESCOBAR LEONARDO</t>
  </si>
  <si>
    <t>CRUZ TORRES LAURA MARCELLA</t>
  </si>
  <si>
    <t>ZUÑIGA ALVAREZ SANTIAGO</t>
  </si>
  <si>
    <t xml:space="preserve">OSPINA LOZANO CRISTIAN CAMILO                     </t>
  </si>
  <si>
    <t>COORDINADOR REGIONAL</t>
  </si>
  <si>
    <t>RUIZ VARGAS SANTIAGO</t>
  </si>
  <si>
    <t>NARVAEZ TAVERA JUAN CARLOS</t>
  </si>
  <si>
    <t>SUPERVISOR SYSO</t>
  </si>
  <si>
    <t>SUA MOJICA JAIRO HERNAN</t>
  </si>
  <si>
    <t>JEFE NACIONAL DE OPERACIONES</t>
  </si>
  <si>
    <t>RODRIGUEZ VEGA RUBEN DARIO</t>
  </si>
  <si>
    <t xml:space="preserve">RAMIREZ LOPEZ LINA MARIA </t>
  </si>
  <si>
    <t>COORDINADOR COMERCIO EXTERIOR</t>
  </si>
  <si>
    <t>RAMOS ROJAS DAVID LEONARDO</t>
  </si>
  <si>
    <t>LOPEZ CARDONA JULIAN ANDRES</t>
  </si>
  <si>
    <t>DURANGO RAMIREZ JUAN ESTEBAN</t>
  </si>
  <si>
    <t>PACHECO JIMENEZ YERLIS ANTONIO</t>
  </si>
  <si>
    <t>COORDINADOR DE OBRA</t>
  </si>
  <si>
    <t>HENRIQUEZ NEIRA ESFREILER JESUS</t>
  </si>
  <si>
    <t>MESTRE VALDELAMAR DELCY DEL CARMEN</t>
  </si>
  <si>
    <t>ASISTENTE DE OPERACIONES</t>
  </si>
  <si>
    <t>CARO CASTILLO CARLOS ANDRES</t>
  </si>
  <si>
    <t>COORDINADOR REGIONAL COSTA I</t>
  </si>
  <si>
    <t>OROZCO BARRIOS JHON FERNANDO</t>
  </si>
  <si>
    <t>RONDON GISSEL ZORAIMA</t>
  </si>
  <si>
    <t>DIRECTOR UEN RCC</t>
  </si>
  <si>
    <t>ORDOÑEZ PALECHOR DIVER ARIEL</t>
  </si>
  <si>
    <t>AUXILIAR DE SEGURIDAD</t>
  </si>
  <si>
    <t>ORTEGA LA TORRE IRINA MARCELA</t>
  </si>
  <si>
    <t>COORDINADOR SST</t>
  </si>
  <si>
    <t xml:space="preserve">FERNANDEZ ARIAS DIEGO ARMANDO                     </t>
  </si>
  <si>
    <t>INGENIERO DE DISEÑO Y PRESUPUESTO</t>
  </si>
  <si>
    <t>BANDA ALTAMIRANDA ANDYS JAVIER</t>
  </si>
  <si>
    <t xml:space="preserve">TECNICO EN AISLAMIENTOS TERMICOS </t>
  </si>
  <si>
    <t>BELTRAN CARRILLO DANNY LEONARDO</t>
  </si>
  <si>
    <t>GARCIA  DANIEL CAMILO</t>
  </si>
  <si>
    <t>GALLEGO SOTO DANIEL FELIPE</t>
  </si>
  <si>
    <t>INGENIERO REGIONAL CENTRO II</t>
  </si>
  <si>
    <t>MUÑOZ ALVARADO CARLOS EDUARDO</t>
  </si>
  <si>
    <t xml:space="preserve">SANCHEZ OROZCO AQUILIO JOSE </t>
  </si>
  <si>
    <t>SEGURA CUERO HARVIN STEEVEN</t>
  </si>
  <si>
    <t>PARRA RINCON GERSON GEOVANNY</t>
  </si>
  <si>
    <t>DUBEIBE VEGA SAIN DANILO</t>
  </si>
  <si>
    <t>PEDRAZA TORRES FABIAN FERNANDO</t>
  </si>
  <si>
    <t>INGENIERO DE PROYECTOS</t>
  </si>
  <si>
    <t xml:space="preserve">GARCIA JAIMES ARLINSO                 </t>
  </si>
  <si>
    <t>INGENIERO DE SOPORTE TECNICO</t>
  </si>
  <si>
    <t>QUINTERO RANGEL MARIA ELIZABETH</t>
  </si>
  <si>
    <t>COLMENARES  CACUA BRAYAN  FERNANDO</t>
  </si>
  <si>
    <t>BECERRA ALVAREZ EIMAR</t>
  </si>
  <si>
    <t>DIRECTOR DE PLANTA</t>
  </si>
  <si>
    <t>GOEZ ACOSTA ONAISER  MIGUEL</t>
  </si>
  <si>
    <t>COY PINZON ELIZABETH</t>
  </si>
  <si>
    <t>INGENIERA REGIONAL DE ANTIOQUIA</t>
  </si>
  <si>
    <t>BASTIDAS GONZALEZ CLAUDIA LORENA</t>
  </si>
  <si>
    <t xml:space="preserve">ALOMIA MANTILLA JORDAN STIVEN                     </t>
  </si>
  <si>
    <t>AYUDANTE DE PRODUCCION</t>
  </si>
  <si>
    <t>GALVIS GARCIA ALEXANDER</t>
  </si>
  <si>
    <t>INGENIERO SOPORTE  AMONIACO</t>
  </si>
  <si>
    <t>ARANGO QUINTERO LINA MARCELA</t>
  </si>
  <si>
    <t>LIDER COMERCIAL ADN</t>
  </si>
  <si>
    <t>PARRA GONZALEZ CARLOS EMERSON</t>
  </si>
  <si>
    <t>JEFE ADN</t>
  </si>
  <si>
    <t>ROMERO CAMACHO LUIS ADRIAN</t>
  </si>
  <si>
    <t>APRENDIZ SENA LECTIVA</t>
  </si>
  <si>
    <t>ALOMIA MOLINA MARIA PAULA</t>
  </si>
  <si>
    <t>APRENDIZ SENA PRACTICA</t>
  </si>
  <si>
    <t>MORENO CAPURRO KAROL VALENTINA</t>
  </si>
  <si>
    <t>VILLAFAÑE GARCIA SEBASTIAN</t>
  </si>
  <si>
    <t>CORTES CHAVERRA JHON EDWIN</t>
  </si>
  <si>
    <t>RODRIGUEZ OROBIO BAYRON ALEXANDER</t>
  </si>
  <si>
    <t xml:space="preserve">ROJAS BOLAÑOS JOSE CARLOS                         </t>
  </si>
  <si>
    <t>COORDINADOR DE MERCADEO</t>
  </si>
  <si>
    <t>VARGAS PORTILLA JEAN CARLOS</t>
  </si>
  <si>
    <t>INGENIERO PROYECTOS Y PRESUPUESTOS SENIOR ADN</t>
  </si>
  <si>
    <t>RAMIREZ DIDIER ANDRES</t>
  </si>
  <si>
    <t>DIRECTOR DE DISEÑO Y PRESUPUESTOS</t>
  </si>
  <si>
    <t>PUERTAS CASTAÑEDA JUAN DAVID</t>
  </si>
  <si>
    <t xml:space="preserve">DIUZA ARBOLEDA JESSICA LORENA                     </t>
  </si>
  <si>
    <t>ANALISTA CONTROL PRESUPUESTAL</t>
  </si>
  <si>
    <t>ZAMBRANO CARDENAS JELINE LIZETH</t>
  </si>
  <si>
    <t>INGENIERA DE PROYECTOS</t>
  </si>
  <si>
    <t>ALVAREZ LOPEZ ELENIR</t>
  </si>
  <si>
    <t>JEFE DE SGI</t>
  </si>
  <si>
    <t xml:space="preserve">GOMEZ HINOJOSA FERNEY </t>
  </si>
  <si>
    <t>RODRIGUEZ CRIALES WILLIAM ALBERTO</t>
  </si>
  <si>
    <t>INGENIERO SOPORTE JUNIOR</t>
  </si>
  <si>
    <t>TOBAR LEOPARDO  LEIBY YOHANNA</t>
  </si>
  <si>
    <t xml:space="preserve">COORDINADORA DE NOMINA </t>
  </si>
  <si>
    <t>HERNANDEZ MARTINEZ JOSE DANIEL</t>
  </si>
  <si>
    <t>RIVERA DOMINGUEZ SEBASTIAN</t>
  </si>
  <si>
    <t>RAMIREZ VARCO PAOLA ANDREA</t>
  </si>
  <si>
    <t>RODRIGUEZ JIMENEZ FABIAN ALBERTO</t>
  </si>
  <si>
    <t>PRADA ORTIZ CESAR  AUGUSTO</t>
  </si>
  <si>
    <t>SERNA ARCE WILLIAM STIVEN</t>
  </si>
  <si>
    <t>GONZALEZ PEREZ JOSE DANIEL</t>
  </si>
  <si>
    <t>AYUDANTE DE MONTAJE</t>
  </si>
  <si>
    <t>PEDEAÑA RAMOS DANY RAUL</t>
  </si>
  <si>
    <t>AYUDANTE REFRIGERACION</t>
  </si>
  <si>
    <t xml:space="preserve">QUINAYAS DIAZ ANDRES FELIPE </t>
  </si>
  <si>
    <t xml:space="preserve">LOPEZ MOSQUERA YONNIER ANDRES </t>
  </si>
  <si>
    <t>MALDONADO ARTEAGA JHON EDINSON</t>
  </si>
  <si>
    <t>AUXILIAR DE PUERTAS</t>
  </si>
  <si>
    <t xml:space="preserve">GARCIA ARIZA JOSE LUIS </t>
  </si>
  <si>
    <t>AGREDA PEREZ LUIS AUGUSTO</t>
  </si>
  <si>
    <t xml:space="preserve">CASTRO PINZON JULNEY DARIO </t>
  </si>
  <si>
    <t>CARDONA VILLANO GUSTAVO ADOLFO</t>
  </si>
  <si>
    <t xml:space="preserve">JEFE TECNICO NACIONAL </t>
  </si>
  <si>
    <t>TORRES OSPINA LUIS CARLOS</t>
  </si>
  <si>
    <t>INGENIERO DE INVESTIGACIÓN Y DESARROLLO</t>
  </si>
  <si>
    <t>URRUTIA HURTADO GUSTAVO ADOLFO</t>
  </si>
  <si>
    <t>INGENIERO REGIONAL SUR OCCIDENTE</t>
  </si>
  <si>
    <t>VELEZ VELASQUEZ JEFFERSON ANDRES</t>
  </si>
  <si>
    <t>OPERARIO DE UNIDADES Y EQUIPOS ESPECIALES</t>
  </si>
  <si>
    <t>TORRES ABADIA CAMILO ANDRÉS</t>
  </si>
  <si>
    <t>DIRECTOR FINANCIERO</t>
  </si>
  <si>
    <t xml:space="preserve">RODRIGUEZ AVENIA LAURA MARIA                      </t>
  </si>
  <si>
    <t>JEFE FINANCIERA</t>
  </si>
  <si>
    <t>GIL MOSQUERA JHON EDWARD</t>
  </si>
  <si>
    <t>HENAO DIAZ JAHAIRA</t>
  </si>
  <si>
    <t>ANALISTA CONTABLE JUNIOR</t>
  </si>
  <si>
    <t>CASTILLO CORTES ALEX</t>
  </si>
  <si>
    <t>SUPERVISOR ELECTRICO</t>
  </si>
  <si>
    <t>SERRATO SANCHEZ DIANA MARCELA</t>
  </si>
  <si>
    <t>QUIÑONES FRANCO OSCAR DAVID</t>
  </si>
  <si>
    <t xml:space="preserve">DE LA CRUZ DELGADO JOSE ANDRES                    </t>
  </si>
  <si>
    <t>SUPERVISOR DE PLANTA</t>
  </si>
  <si>
    <t xml:space="preserve">VIVAS HERNANDEZ JONIER ALEXANDER        </t>
  </si>
  <si>
    <t>GOMEZ CARDONA MIGUEL ANGEL</t>
  </si>
  <si>
    <t>LOPEZ DUQUE CARLOS EDUARDO</t>
  </si>
  <si>
    <t>DIRECTOR UEN YAK</t>
  </si>
  <si>
    <t>RUIZ PARRA JAPSIN STEVEN</t>
  </si>
  <si>
    <t>ARCILA QUIÑONEZ CRISTIAN DAVID</t>
  </si>
  <si>
    <t xml:space="preserve">COORDINADOR DE EQUIPOS Y ENSAMBLE DE UNIDADES </t>
  </si>
  <si>
    <t>POLANCO MONTENEGRO JENNIFER</t>
  </si>
  <si>
    <t>COORDINADOR SGI</t>
  </si>
  <si>
    <t>DUMANCELY MACIAS STEPHANIE ROSS</t>
  </si>
  <si>
    <t>JEFE DE GESTION HUMANA</t>
  </si>
  <si>
    <t xml:space="preserve">MONTAÑA GARCIA JOAN SEBASTIAN </t>
  </si>
  <si>
    <t>ROSERO ROJAS CRHISTIAN CAMILO</t>
  </si>
  <si>
    <t xml:space="preserve">DE LA CRUZ POPAYAN BRYHAN STIVENS                 </t>
  </si>
  <si>
    <t>ASISTENTE TECNICO</t>
  </si>
  <si>
    <t>CASTRO CELIS ANDRES FELIPE</t>
  </si>
  <si>
    <t xml:space="preserve">RESTREPO CALVACHE BRYAN                           </t>
  </si>
  <si>
    <t xml:space="preserve">DIBUJANTE           </t>
  </si>
  <si>
    <t>HERNANDEZ CARDONA DIEGO ALEJANDRO</t>
  </si>
  <si>
    <t>BOBADILLA PRADA KAROL VIVIAM</t>
  </si>
  <si>
    <t>MUÑOZ GIL BRANDON</t>
  </si>
  <si>
    <t>OROZCO PINEDA JOAN ALEJANDRO</t>
  </si>
  <si>
    <t>TELLO SANTACOLOMA ALEJANDRO</t>
  </si>
  <si>
    <t>LOPEZ OCHOA DANY HORACIO</t>
  </si>
  <si>
    <t xml:space="preserve">CORONADO HERNANDEZ JOHN JHANS </t>
  </si>
  <si>
    <t>TECNICO REFRIGERISTA</t>
  </si>
  <si>
    <t>HERNANDEZ ROLDAN SANTIAGO</t>
  </si>
  <si>
    <t>TASCON MONTOYA VALENTINA</t>
  </si>
  <si>
    <t>INGENIERA DE PROYECTOS JUNIOR</t>
  </si>
  <si>
    <t>TORRES VILLA JHON MICHAEL</t>
  </si>
  <si>
    <t>BUSIGO DIAZ LUIS FERNANDO</t>
  </si>
  <si>
    <t xml:space="preserve">PEREZ MARIN GERSON DAVID                          </t>
  </si>
  <si>
    <t>COORDINADOR DE INFRAESTRUCTURA</t>
  </si>
  <si>
    <t xml:space="preserve">RINCON SEPULVEDA JUAN DIEGO </t>
  </si>
  <si>
    <t>TROCOLLI ESCOBARALVARO ANDRES</t>
  </si>
  <si>
    <t xml:space="preserve">JEFE DE OPERACIONES REFRIGERACIÓN </t>
  </si>
  <si>
    <t>ARANA CORRALES STEVEN</t>
  </si>
  <si>
    <t>AUXILIAR DE SOPORTE Y SISTEMAS</t>
  </si>
  <si>
    <t>NARVAEZ GUERRERO JUAN CAMILO</t>
  </si>
  <si>
    <t xml:space="preserve">OBSERVACIONES </t>
  </si>
  <si>
    <t>HSC40H</t>
  </si>
  <si>
    <t>CXJ34H</t>
  </si>
  <si>
    <t>RIY16E</t>
  </si>
  <si>
    <t>PRH84G</t>
  </si>
  <si>
    <t xml:space="preserve">TERCERO          </t>
  </si>
  <si>
    <t xml:space="preserve">NOMBRE TERCERO                                                                                      </t>
  </si>
  <si>
    <t xml:space="preserve">DIRECCION TERCERO                                           </t>
  </si>
  <si>
    <t xml:space="preserve">CUENTA                                                       </t>
  </si>
  <si>
    <t xml:space="preserve">CTA       </t>
  </si>
  <si>
    <t xml:space="preserve">DESCRIPCION                                       </t>
  </si>
  <si>
    <t xml:space="preserve">COMPROBANTE          </t>
  </si>
  <si>
    <t xml:space="preserve">FECHA     </t>
  </si>
  <si>
    <t xml:space="preserve">DETALLE                                           </t>
  </si>
  <si>
    <t xml:space="preserve">DOCUMENTO CRUCE  </t>
  </si>
  <si>
    <t xml:space="preserve">DEBITOS           </t>
  </si>
  <si>
    <t xml:space="preserve">CREDITOS          </t>
  </si>
  <si>
    <t>HGZ414</t>
  </si>
  <si>
    <t xml:space="preserve">TRIANA CORREA JAIME HUMBERTO  </t>
  </si>
  <si>
    <t xml:space="preserve">AGUAS MONTES GISEL            </t>
  </si>
  <si>
    <t>COLMENARES CACUA BRAYAN FERNAN</t>
  </si>
  <si>
    <t xml:space="preserve">VIVAS PERLAZA JOSE FREDDY     </t>
  </si>
  <si>
    <t xml:space="preserve">BAHOZ BOLAÑOS ASTRID CAMILA   </t>
  </si>
  <si>
    <t xml:space="preserve">SUA MOJICA JAIRO HERNAN       </t>
  </si>
  <si>
    <t xml:space="preserve">QUIÑONES FRANCO OSCAR DAVID   </t>
  </si>
  <si>
    <t xml:space="preserve">RESTREPO GARCIA OMAR ANDRES   </t>
  </si>
  <si>
    <t xml:space="preserve">LOPEZ DUQUE CARLOS EDUARDO    </t>
  </si>
  <si>
    <t>MESTRE VALDELAMAR DELCY DEL CA</t>
  </si>
  <si>
    <t xml:space="preserve">CERON BOLAÑOS CESAR           </t>
  </si>
  <si>
    <t xml:space="preserve">CERON VIVAS EDWIN ROVIER      </t>
  </si>
  <si>
    <t>AGUDELO QUI?ONES ROBERTO ANTON</t>
  </si>
  <si>
    <t>HENRIQUE NEIRA ESFREILER JESUS</t>
  </si>
  <si>
    <t>CARDONA VILLERO GUSTAVO ADOLFO</t>
  </si>
  <si>
    <t xml:space="preserve">TORRES OSPINA LUIS CARLOS     </t>
  </si>
  <si>
    <t>HERNANDEZ CARDONA DIEGO ALEJAN</t>
  </si>
  <si>
    <t xml:space="preserve">BECERRA ALVAREZ EIMAR         </t>
  </si>
  <si>
    <t xml:space="preserve">AGUDELO HENAO OSCAR EMILIO    </t>
  </si>
  <si>
    <t xml:space="preserve">RODRIGUEZ REVELO PEDRO NEL    </t>
  </si>
  <si>
    <t xml:space="preserve">RAMIREZ LOPEZ LINA MARIA      </t>
  </si>
  <si>
    <t xml:space="preserve">NARVAEZ GUERRERO JUAN CAMILO  </t>
  </si>
  <si>
    <t xml:space="preserve">PARRA TRUJILLO LILIANA        </t>
  </si>
  <si>
    <t xml:space="preserve">REYES PEÑA HERNAN DARIO       </t>
  </si>
  <si>
    <t xml:space="preserve">CHARA GONGORA OIVER           </t>
  </si>
  <si>
    <t>CASTRILLON GRISALES VIVIAN YUL</t>
  </si>
  <si>
    <t xml:space="preserve">ESCOBAR AGUDELO JHON JAIRO    </t>
  </si>
  <si>
    <t>BAHOZ BOLAÑOS ASTRID CAMILA</t>
  </si>
  <si>
    <t>COLMENARES CACUA BRAYAN FERNANDO</t>
  </si>
  <si>
    <t>QXP82H</t>
  </si>
  <si>
    <t>OYN443</t>
  </si>
  <si>
    <t>QXN48H</t>
  </si>
  <si>
    <t>LQL698</t>
  </si>
  <si>
    <t>LKY555</t>
  </si>
  <si>
    <t>LMX163</t>
  </si>
  <si>
    <t>SOY69H</t>
  </si>
  <si>
    <t>1Q OCT2025</t>
  </si>
  <si>
    <t>2Q SEPTIEMBRE 2026</t>
  </si>
  <si>
    <t>ORK82G</t>
  </si>
  <si>
    <t>JOSE CARLOS ROJAS</t>
  </si>
  <si>
    <t>LMK214</t>
  </si>
  <si>
    <t>MWT475</t>
  </si>
  <si>
    <t>QJR487</t>
  </si>
  <si>
    <t>ELIZABETH COY</t>
  </si>
  <si>
    <t>WPC23G</t>
  </si>
  <si>
    <t>URC80H</t>
  </si>
  <si>
    <t>HMO670</t>
  </si>
  <si>
    <t>DANIELA CASTAÑEDA</t>
  </si>
  <si>
    <t>DVD76H</t>
  </si>
  <si>
    <t>Total general</t>
  </si>
  <si>
    <t>Suma de VALOR CUTOA QUINENAL</t>
  </si>
  <si>
    <t>Total</t>
  </si>
  <si>
    <t>EPZ473</t>
  </si>
  <si>
    <t>INCLUSIÓN 2Q ENERO</t>
  </si>
  <si>
    <t>NQW777</t>
  </si>
  <si>
    <t>JZR934</t>
  </si>
  <si>
    <t>Modificación cambio de Placa JZR 934</t>
  </si>
  <si>
    <t>ANGEL CISNEROS SAITA</t>
  </si>
  <si>
    <t>XMH46H</t>
  </si>
  <si>
    <t>JUAN CARLOS NARVAEZ</t>
  </si>
  <si>
    <t>IHQ08H</t>
  </si>
  <si>
    <t>DESCUENTOS QUINCENALES - MES DE  FEBRERO  2026</t>
  </si>
  <si>
    <t>Valores</t>
  </si>
  <si>
    <t>Suma de VALOR POLIZA AÑO</t>
  </si>
  <si>
    <t>SUMMAR TEMPORALES</t>
  </si>
  <si>
    <t xml:space="preserve">RETIRADO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</si>
</sst>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 * #,##0_ ;_ * \-#,##0_ ;_ * &quot;-&quot;??_ ;_ @_ "/>
    <numFmt numFmtId="166" formatCode="_-&quot;$&quot;\ * #,##0_-;\-&quot;$&quot;\ * #,##0_-;_-&quot;$&quot;\ * &quot;-&quot;??_-;_-@_-"/>
    <numFmt numFmtId="167" formatCode="##,##0_);[Red]\(##,##0\)"/>
    <numFmt numFmtId="168" formatCode="yyyy/mm/dd"/>
    <numFmt numFmtId="169" formatCode="##,##0.00_);[Red]\(##,##0.00\)"/>
    <numFmt numFmtId="170" formatCode="_(&quot;$&quot;\ * #,##0.00_);_(&quot;$&quot;\ * \(#,##0.00\);_(&quot;$&quot;\ * &quot;-&quot;??_);_(@_)"/>
    <numFmt numFmtId="171" formatCode="_ &quot;$&quot;\ * #,##0.00_ ;_ &quot;$&quot;\ * \-#,##0.00_ ;_ &quot;$&quot;\ * &quot;-&quot;??_ ;_ @_ "/>
    <numFmt numFmtId="172" formatCode="_ * #,##0.00_ ;_ * \-#,##0.00_ ;_ * &quot;-&quot;??_ ;_ @_ 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Verdana   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sz val="10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12" applyNumberFormat="0" applyAlignment="0" applyProtection="0"/>
    <xf numFmtId="0" fontId="22" fillId="12" borderId="13" applyNumberFormat="0" applyAlignment="0" applyProtection="0"/>
    <xf numFmtId="0" fontId="23" fillId="12" borderId="12" applyNumberFormat="0" applyAlignment="0" applyProtection="0"/>
    <xf numFmtId="0" fontId="24" fillId="0" borderId="14" applyNumberFormat="0" applyFill="0" applyAlignment="0" applyProtection="0"/>
    <xf numFmtId="0" fontId="12" fillId="13" borderId="15" applyNumberFormat="0" applyAlignment="0" applyProtection="0"/>
    <xf numFmtId="0" fontId="25" fillId="0" borderId="0" applyNumberFormat="0" applyFill="0" applyBorder="0" applyAlignment="0" applyProtection="0"/>
    <xf numFmtId="0" fontId="1" fillId="14" borderId="16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7" applyNumberFormat="0" applyFill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4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/>
    <xf numFmtId="0" fontId="31" fillId="0" borderId="0" applyNumberFormat="0" applyFill="0" applyBorder="0" applyAlignment="0" applyProtection="0"/>
    <xf numFmtId="0" fontId="32" fillId="10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8" borderId="0" applyNumberFormat="0" applyBorder="0" applyAlignment="0" applyProtection="0"/>
    <xf numFmtId="0" fontId="33" fillId="0" borderId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4" borderId="16" applyNumberFormat="0" applyFont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4" fillId="0" borderId="0"/>
    <xf numFmtId="0" fontId="35" fillId="0" borderId="0">
      <alignment vertical="top"/>
      <protection locked="0"/>
    </xf>
    <xf numFmtId="42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6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5" fontId="8" fillId="4" borderId="1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/>
    <xf numFmtId="0" fontId="2" fillId="2" borderId="0" xfId="0" applyFont="1" applyFill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1" fontId="9" fillId="7" borderId="6" xfId="3" applyNumberFormat="1" applyFont="1" applyFill="1" applyBorder="1" applyAlignment="1">
      <alignment horizontal="right"/>
    </xf>
    <xf numFmtId="0" fontId="9" fillId="7" borderId="7" xfId="3" applyFont="1" applyFill="1" applyBorder="1" applyAlignment="1">
      <alignment vertical="center"/>
    </xf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1" fontId="0" fillId="5" borderId="6" xfId="0" applyNumberFormat="1" applyFill="1" applyBorder="1" applyAlignment="1">
      <alignment horizontal="right"/>
    </xf>
    <xf numFmtId="0" fontId="9" fillId="5" borderId="7" xfId="3" applyFont="1" applyFill="1" applyBorder="1" applyAlignment="1">
      <alignment vertic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1" fontId="0" fillId="7" borderId="6" xfId="0" applyNumberFormat="1" applyFill="1" applyBorder="1" applyAlignment="1">
      <alignment horizontal="right"/>
    </xf>
    <xf numFmtId="0" fontId="0" fillId="7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" fontId="9" fillId="5" borderId="6" xfId="3" applyNumberFormat="1" applyFont="1" applyFill="1" applyBorder="1" applyAlignment="1">
      <alignment horizontal="right"/>
    </xf>
    <xf numFmtId="1" fontId="13" fillId="7" borderId="6" xfId="0" applyNumberFormat="1" applyFont="1" applyFill="1" applyBorder="1" applyAlignment="1">
      <alignment horizontal="right"/>
    </xf>
    <xf numFmtId="0" fontId="0" fillId="7" borderId="7" xfId="0" applyFill="1" applyBorder="1" applyAlignment="1">
      <alignment horizontal="left"/>
    </xf>
    <xf numFmtId="0" fontId="3" fillId="3" borderId="0" xfId="0" applyFont="1" applyFill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/>
    </xf>
    <xf numFmtId="0" fontId="10" fillId="0" borderId="1" xfId="4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166" fontId="0" fillId="0" borderId="0" xfId="0" applyNumberFormat="1"/>
    <xf numFmtId="166" fontId="4" fillId="0" borderId="0" xfId="0" applyNumberFormat="1" applyFont="1" applyAlignment="1">
      <alignment vertical="center"/>
    </xf>
    <xf numFmtId="0" fontId="0" fillId="0" borderId="0" xfId="0"/>
    <xf numFmtId="0" fontId="29" fillId="0" borderId="0" xfId="0" applyNumberFormat="1" applyFont="1"/>
    <xf numFmtId="167" fontId="29" fillId="0" borderId="0" xfId="0" applyNumberFormat="1" applyFont="1"/>
    <xf numFmtId="168" fontId="29" fillId="0" borderId="0" xfId="0" applyNumberFormat="1" applyFont="1"/>
    <xf numFmtId="169" fontId="29" fillId="0" borderId="0" xfId="0" applyNumberFormat="1" applyFont="1"/>
    <xf numFmtId="0" fontId="30" fillId="39" borderId="0" xfId="0" applyNumberFormat="1" applyFont="1" applyFill="1"/>
    <xf numFmtId="167" fontId="30" fillId="39" borderId="0" xfId="0" applyNumberFormat="1" applyFont="1" applyFill="1"/>
    <xf numFmtId="168" fontId="30" fillId="39" borderId="0" xfId="0" applyNumberFormat="1" applyFont="1" applyFill="1"/>
    <xf numFmtId="169" fontId="30" fillId="39" borderId="0" xfId="0" applyNumberFormat="1" applyFont="1" applyFill="1"/>
    <xf numFmtId="0" fontId="0" fillId="40" borderId="0" xfId="0" applyFill="1"/>
    <xf numFmtId="166" fontId="10" fillId="0" borderId="3" xfId="1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0" fillId="0" borderId="1" xfId="0" applyFill="1" applyBorder="1"/>
    <xf numFmtId="0" fontId="11" fillId="0" borderId="2" xfId="4" applyFont="1" applyFill="1" applyBorder="1" applyAlignment="1">
      <alignment horizontal="center" vertical="center"/>
    </xf>
    <xf numFmtId="166" fontId="11" fillId="0" borderId="3" xfId="1" applyNumberFormat="1" applyFont="1" applyFill="1" applyBorder="1" applyAlignment="1">
      <alignment horizontal="center"/>
    </xf>
    <xf numFmtId="0" fontId="27" fillId="0" borderId="1" xfId="0" applyFont="1" applyFill="1" applyBorder="1"/>
    <xf numFmtId="166" fontId="11" fillId="0" borderId="3" xfId="0" applyNumberFormat="1" applyFont="1" applyFill="1" applyBorder="1" applyAlignment="1">
      <alignment horizontal="center"/>
    </xf>
    <xf numFmtId="166" fontId="0" fillId="0" borderId="3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/>
    <xf numFmtId="166" fontId="10" fillId="0" borderId="0" xfId="1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66" fontId="0" fillId="0" borderId="0" xfId="0" applyNumberFormat="1" applyFill="1"/>
    <xf numFmtId="0" fontId="10" fillId="0" borderId="18" xfId="4" applyFont="1" applyFill="1" applyBorder="1" applyAlignment="1">
      <alignment horizontal="center" vertical="center"/>
    </xf>
    <xf numFmtId="0" fontId="10" fillId="0" borderId="19" xfId="4" applyFont="1" applyFill="1" applyBorder="1" applyAlignment="1">
      <alignment horizontal="center" vertical="center"/>
    </xf>
    <xf numFmtId="166" fontId="10" fillId="0" borderId="1" xfId="0" applyNumberFormat="1" applyFont="1" applyBorder="1"/>
    <xf numFmtId="166" fontId="10" fillId="0" borderId="0" xfId="0" applyNumberFormat="1" applyFont="1" applyBorder="1"/>
    <xf numFmtId="0" fontId="1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pivotButton="1"/>
    <xf numFmtId="0" fontId="0" fillId="0" borderId="0" xfId="0" applyNumberFormat="1"/>
    <xf numFmtId="0" fontId="4" fillId="2" borderId="0" xfId="0" applyFont="1" applyFill="1" applyAlignment="1">
      <alignment horizontal="center" vertical="center"/>
    </xf>
  </cellXfs>
  <cellStyles count="95">
    <cellStyle name="20% - Énfasis1" xfId="23" builtinId="30" customBuiltin="1"/>
    <cellStyle name="20% - Énfasis1 2" xfId="58" xr:uid="{8183FA01-9E88-4AC6-B6B2-81E875BA68E6}"/>
    <cellStyle name="20% - Énfasis2" xfId="27" builtinId="34" customBuiltin="1"/>
    <cellStyle name="20% - Énfasis2 2" xfId="59" xr:uid="{97960EC5-CF75-4223-9516-54BCC5C7A072}"/>
    <cellStyle name="20% - Énfasis3" xfId="31" builtinId="38" customBuiltin="1"/>
    <cellStyle name="20% - Énfasis3 2" xfId="60" xr:uid="{1779BECD-D3D4-4E5F-B9DE-A0BC02EF014C}"/>
    <cellStyle name="20% - Énfasis4" xfId="35" builtinId="42" customBuiltin="1"/>
    <cellStyle name="20% - Énfasis4 2" xfId="61" xr:uid="{C677C1AD-5EBC-4E30-B21A-0B4A6075FC7C}"/>
    <cellStyle name="20% - Énfasis5" xfId="39" builtinId="46" customBuiltin="1"/>
    <cellStyle name="20% - Énfasis5 2" xfId="62" xr:uid="{F50050A9-8D24-49C0-A081-534CE47B5846}"/>
    <cellStyle name="20% - Énfasis6" xfId="43" builtinId="50" customBuiltin="1"/>
    <cellStyle name="20% - Énfasis6 2" xfId="63" xr:uid="{F7AA31D2-E2AE-4370-A22E-3223145C07BA}"/>
    <cellStyle name="40% - Énfasis1" xfId="24" builtinId="31" customBuiltin="1"/>
    <cellStyle name="40% - Énfasis1 2" xfId="64" xr:uid="{F0DFDB51-74E7-46B7-AF9C-94850E502DE8}"/>
    <cellStyle name="40% - Énfasis2" xfId="28" builtinId="35" customBuiltin="1"/>
    <cellStyle name="40% - Énfasis2 2" xfId="65" xr:uid="{CC8E2100-C76C-4E0F-9955-C600812F128E}"/>
    <cellStyle name="40% - Énfasis3" xfId="32" builtinId="39" customBuiltin="1"/>
    <cellStyle name="40% - Énfasis3 2" xfId="66" xr:uid="{F365F2F4-D631-4CEF-810C-8C71EAA7A86D}"/>
    <cellStyle name="40% - Énfasis4" xfId="36" builtinId="43" customBuiltin="1"/>
    <cellStyle name="40% - Énfasis4 2" xfId="67" xr:uid="{442CAF05-D9F1-481E-BDBF-8CA8F10844DC}"/>
    <cellStyle name="40% - Énfasis5" xfId="40" builtinId="47" customBuiltin="1"/>
    <cellStyle name="40% - Énfasis5 2" xfId="68" xr:uid="{7ED6C51F-6E89-4092-B21A-A999B594E6E4}"/>
    <cellStyle name="40% - Énfasis6" xfId="44" builtinId="51" customBuiltin="1"/>
    <cellStyle name="40% - Énfasis6 2" xfId="69" xr:uid="{FE38BB4A-29AF-4F81-8F30-6966830722DC}"/>
    <cellStyle name="60% - Énfasis1" xfId="25" builtinId="32" customBuiltin="1"/>
    <cellStyle name="60% - Énfasis1 2" xfId="51" xr:uid="{E07C1948-1043-4157-90CB-2FCE209A9846}"/>
    <cellStyle name="60% - Énfasis2" xfId="29" builtinId="36" customBuiltin="1"/>
    <cellStyle name="60% - Énfasis2 2" xfId="52" xr:uid="{FF3C9CDD-9360-4C8D-BD90-466BAF3E5061}"/>
    <cellStyle name="60% - Énfasis3" xfId="33" builtinId="40" customBuiltin="1"/>
    <cellStyle name="60% - Énfasis3 2" xfId="53" xr:uid="{6CD50694-9BEC-4A91-B83A-60F485F597A0}"/>
    <cellStyle name="60% - Énfasis4" xfId="37" builtinId="44" customBuiltin="1"/>
    <cellStyle name="60% - Énfasis4 2" xfId="54" xr:uid="{C4E6C16F-AAE4-426D-9960-CF94C19D7455}"/>
    <cellStyle name="60% - Énfasis5" xfId="41" builtinId="48" customBuiltin="1"/>
    <cellStyle name="60% - Énfasis5 2" xfId="55" xr:uid="{CF81784C-4EE5-4237-BE0C-4277B486CCB7}"/>
    <cellStyle name="60% - Énfasis6" xfId="45" builtinId="52" customBuiltin="1"/>
    <cellStyle name="60% - Énfasis6 2" xfId="56" xr:uid="{BC344C39-1006-4F69-9220-59B1870A3486}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Millares 2" xfId="2" xr:uid="{79733194-BF46-472B-B84B-E5940872C0E3}"/>
    <cellStyle name="Millares 2 2" xfId="80" xr:uid="{117B7ACE-BAD5-4F7F-8D81-FC08C865CB50}"/>
    <cellStyle name="Millares 2 3" xfId="70" xr:uid="{022DE79C-2C86-4964-9E30-220ACA150586}"/>
    <cellStyle name="Millares 3" xfId="76" xr:uid="{81638782-34F3-4194-8633-8391D4FAC906}"/>
    <cellStyle name="Millares 3 2" xfId="81" xr:uid="{F9BE3B49-2711-4249-8DBC-602C15EF4137}"/>
    <cellStyle name="Millares 4" xfId="78" xr:uid="{1FD31BA8-EE2F-4642-ABE5-F96E3356F80D}"/>
    <cellStyle name="Millares 5" xfId="87" xr:uid="{A281E869-DE50-4292-B54F-F5041383C8B5}"/>
    <cellStyle name="Millares 6" xfId="89" xr:uid="{56F5F4C1-2BF5-4873-B918-D5C66C726A22}"/>
    <cellStyle name="Millares 7" xfId="91" xr:uid="{D958B639-33C5-48EE-A647-C9E0B22866A6}"/>
    <cellStyle name="Moneda" xfId="1" builtinId="4"/>
    <cellStyle name="Moneda [0] 2" xfId="86" xr:uid="{A5B3D1A1-B2B7-4B41-A90D-E91CFAAD535A}"/>
    <cellStyle name="Moneda 2" xfId="47" xr:uid="{DC9BB596-AC99-40D0-A7F2-6C444CD7CFD9}"/>
    <cellStyle name="Moneda 3" xfId="46" xr:uid="{FADCECAE-35FE-4920-B3DA-51293A8610DE}"/>
    <cellStyle name="Moneda 3 2" xfId="77" xr:uid="{BAC7EA92-4F09-4867-B6E8-7820F22CFC38}"/>
    <cellStyle name="Moneda 3 2 2" xfId="82" xr:uid="{704BE4D8-73E9-4D0C-91B3-6B7F839BB382}"/>
    <cellStyle name="Moneda 3 3" xfId="79" xr:uid="{E1C87460-D163-4441-8EB1-3B10804DADB8}"/>
    <cellStyle name="Moneda 4" xfId="83" xr:uid="{236A82BC-A562-482A-9068-87D8E90EC665}"/>
    <cellStyle name="Moneda 5" xfId="92" xr:uid="{39CD705E-C212-4ADB-BBD2-5E80676DADEB}"/>
    <cellStyle name="Moneda 6" xfId="93" xr:uid="{C5DC679A-E892-4160-92D7-D8901409A121}"/>
    <cellStyle name="Neutral" xfId="12" builtinId="28" customBuiltin="1"/>
    <cellStyle name="Neutral 2" xfId="50" xr:uid="{8CDE871C-5161-4EB8-B75B-80989506C28A}"/>
    <cellStyle name="Normal" xfId="0" builtinId="0"/>
    <cellStyle name="Normal 2" xfId="3" xr:uid="{34D7E62B-2411-4BE5-AE3C-EAE180721F4C}"/>
    <cellStyle name="Normal 2 2" xfId="48" xr:uid="{F231C484-517E-4627-95A3-5ACB98BC03D6}"/>
    <cellStyle name="Normal 2 2 2" xfId="4" xr:uid="{AF54C629-1FF0-4885-AEEE-2DDF82C5101A}"/>
    <cellStyle name="Normal 2 3" xfId="71" xr:uid="{210A8D47-2B9E-4E7A-AA1B-4AE98E5AB7E4}"/>
    <cellStyle name="Normal 2 4" xfId="75" xr:uid="{29CB9E5E-283A-4937-B26C-2740B8E11972}"/>
    <cellStyle name="Normal 2 5" xfId="94" xr:uid="{DF6DA423-678F-4D36-A6A8-064139EDE800}"/>
    <cellStyle name="Normal 3" xfId="57" xr:uid="{3468F685-C513-41BB-901F-73466BEE8D8C}"/>
    <cellStyle name="Normal 4" xfId="85" xr:uid="{866BC153-5A1A-4EBE-AE76-44A40149F585}"/>
    <cellStyle name="Normal 5" xfId="88" xr:uid="{4C54F68F-7C5A-4435-B7F6-900AF80B0E7E}"/>
    <cellStyle name="Normal 6" xfId="84" xr:uid="{18C9B356-C1A0-47BE-8B61-2E40FBA0C562}"/>
    <cellStyle name="Normal 7" xfId="90" xr:uid="{40694168-B9B5-45E3-8F8C-8F4897D0D7A7}"/>
    <cellStyle name="Notas" xfId="19" builtinId="10" customBuiltin="1"/>
    <cellStyle name="Notas 2" xfId="72" xr:uid="{822D5C4A-4A5C-468C-8AAC-012527B65D86}"/>
    <cellStyle name="Porcentaje 2" xfId="73" xr:uid="{47A38711-5C62-4FF2-99C6-80BDBD56E95E}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ítulo 4" xfId="74" xr:uid="{F0E19DBA-FF46-4771-A91E-60FE8CC9154F}"/>
    <cellStyle name="Título 5" xfId="49" xr:uid="{78C1B7FA-E556-4D8F-9E51-9E7930EACD41}"/>
    <cellStyle name="Total" xfId="21" builtinId="25" customBuiltin="1"/>
  </cellStyles>
  <dxfs count="21">
    <dxf>
      <fill>
        <patternFill>
          <bgColor theme="7" tint="0.59996337778862885"/>
        </patternFill>
      </fill>
    </dxf>
    <dxf>
      <font>
        <color rgb="FFFF0000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FF0000"/>
      </font>
      <fill>
        <patternFill patternType="solid"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Estilo de segmentación de datos 1" pivot="0" table="0" count="2" xr9:uid="{6A4EA483-23D4-4DCF-8FBE-014AFDDDE16C}">
      <tableStyleElement type="wholeTable" dxfId="20"/>
      <tableStyleElement type="headerRow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de Nomina 2" refreshedDate="46041.452762037035" createdVersion="7" refreshedVersion="7" minRefreshableVersion="3" recordCount="37" xr:uid="{10757FB4-1E3E-4EA6-B04E-824A5F67FAA9}">
  <cacheSource type="worksheet">
    <worksheetSource ref="B5:E44" sheet="POLIZA"/>
  </cacheSource>
  <cacheFields count="4">
    <cacheField name="CEDULA" numFmtId="0">
      <sharedItems containsSemiMixedTypes="0" containsString="0" containsNumber="1" containsInteger="1" minValue="8028607" maxValue="1193543777" count="28">
        <n v="16726060"/>
        <n v="16765038"/>
        <n v="1004343552"/>
        <n v="1101684849"/>
        <n v="1144195582"/>
        <n v="16287985"/>
        <n v="94384810"/>
        <n v="1098757060"/>
        <n v="94552929"/>
        <n v="1045744953"/>
        <n v="1143828516"/>
        <n v="1193543777"/>
        <n v="1047463260"/>
        <n v="1144213479"/>
        <n v="8028607"/>
        <n v="1098650016"/>
        <n v="94412591"/>
        <n v="10025741"/>
        <n v="1019041186"/>
        <n v="94490967"/>
        <n v="1143840049"/>
        <n v="67032011"/>
        <n v="38561178"/>
        <n v="1063292206"/>
        <n v="94362404"/>
        <n v="1113039658"/>
        <n v="1105613195"/>
        <n v="1006166197"/>
      </sharedItems>
    </cacheField>
    <cacheField name="NOMBRE Y APELLIDOS" numFmtId="0">
      <sharedItems count="28">
        <s v="AGUDELO HENAO OSCAR EMILIO"/>
        <s v="AGUDELO QUIÑONEZ ROBERTO ANTONIO"/>
        <s v="BAHOZ BOLAÑOS ASTRID CAMILA"/>
        <s v="BECERRA ALVAREZ EIMAR"/>
        <s v="HERNANDEZ CARDONA DIEGO ALEJANDRO"/>
        <s v="CERON BOLAÑOS CESAR                               "/>
        <s v="CERON VIVAS EDWIN ROVIER"/>
        <s v="COLMENARES CACUA BRAYAN FERNANDO"/>
        <s v="ESCOBAR AGUDELO JOHN JAIRO"/>
        <s v="HENRIQUEZ NEIRA ESFREILER JESUS"/>
        <s v="CARDONA VILLANO GUSTAVO ADOLFO"/>
        <s v="PEREZ MARIN GERSON DAVID                          "/>
        <s v="MESTRE VALDELAMAR DELCY DEL CARMEN"/>
        <s v="NARVAEZ GUERRERO JUAN CAMILO"/>
        <s v="RESTREPO GARCIA OMAR ANDRES                       "/>
        <s v="PEDRAZA TORRES FABIAN FERNANDO"/>
        <s v="RODRIGUEZ REVELO PEDRO NEL"/>
        <s v="TRIANA CORREA JAIME HUMBERTO"/>
        <s v="SUA MOJICA JAIRO HERNAN"/>
        <s v="VIVAS PERLAZA JOSE FREDDY"/>
        <s v="TORRES OSPINA LUIS CARLOS"/>
        <s v="AGUAS MONTES GISEL"/>
        <s v="CASTRILLON GRISALES VIVIAN YULIETH"/>
        <s v="ORTEGA LA TORRE IRINA MARCELA"/>
        <s v="REYES PEÑA HERNAN DARIO"/>
        <s v="JOSE CARLOS ROJAS"/>
        <s v="ELIZABETH COY"/>
        <s v="DANIELA CASTAÑEDA"/>
      </sharedItems>
    </cacheField>
    <cacheField name="VALOR POLIZA AÑO" numFmtId="166">
      <sharedItems containsSemiMixedTypes="0" containsString="0" containsNumber="1" minValue="346456" maxValue="2392534"/>
    </cacheField>
    <cacheField name="VALOR CUTOA QUINENAL" numFmtId="166">
      <sharedItems containsSemiMixedTypes="0" containsString="0" containsNumber="1" minValue="21018.25" maxValue="1196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de Nomina 2" refreshedDate="46080.455565277778" createdVersion="7" refreshedVersion="7" minRefreshableVersion="3" recordCount="41" xr:uid="{0AD047A7-1ACC-45CC-AB5A-1DFD4ACDB9EF}">
  <cacheSource type="worksheet">
    <worksheetSource ref="B5:F46" sheet="POLIZA"/>
  </cacheSource>
  <cacheFields count="5">
    <cacheField name="CEDULA" numFmtId="0">
      <sharedItems containsSemiMixedTypes="0" containsString="0" containsNumber="1" containsInteger="1" minValue="8028607" maxValue="1193543777" count="30">
        <n v="16726060"/>
        <n v="16765038"/>
        <n v="1004343552"/>
        <n v="1101684849"/>
        <n v="1144195582"/>
        <n v="16287985"/>
        <n v="94384810"/>
        <n v="1098757060"/>
        <n v="94552929"/>
        <n v="1045744953"/>
        <n v="1143828516"/>
        <n v="1193543777"/>
        <n v="1047463260"/>
        <n v="1144213479"/>
        <n v="8028607"/>
        <n v="1098650016"/>
        <n v="94412591"/>
        <n v="10025741"/>
        <n v="1019041186"/>
        <n v="94490967"/>
        <n v="1143840049"/>
        <n v="67032011"/>
        <n v="38561178"/>
        <n v="1063292206"/>
        <n v="94362404"/>
        <n v="1113039658"/>
        <n v="1105613195"/>
        <n v="1006166197"/>
        <n v="1123265523"/>
        <n v="1017176446"/>
      </sharedItems>
    </cacheField>
    <cacheField name="NOMBRE Y APELLIDOS" numFmtId="0">
      <sharedItems count="30">
        <s v="AGUDELO HENAO OSCAR EMILIO"/>
        <s v="AGUDELO QUIÑONEZ ROBERTO ANTONIO"/>
        <s v="BAHOZ BOLAÑOS ASTRID CAMILA"/>
        <s v="BECERRA ALVAREZ EIMAR"/>
        <s v="HERNANDEZ CARDONA DIEGO ALEJANDRO"/>
        <s v="CERON BOLAÑOS CESAR                               "/>
        <s v="CERON VIVAS EDWIN ROVIER"/>
        <s v="COLMENARES CACUA BRAYAN FERNANDO"/>
        <s v="ESCOBAR AGUDELO JOHN JAIRO"/>
        <s v="HENRIQUEZ NEIRA ESFREILER JESUS"/>
        <s v="CARDONA VILLANO GUSTAVO ADOLFO"/>
        <s v="PEREZ MARIN GERSON DAVID                          "/>
        <s v="MESTRE VALDELAMAR DELCY DEL CARMEN"/>
        <s v="NARVAEZ GUERRERO JUAN CAMILO"/>
        <s v="RESTREPO GARCIA OMAR ANDRES                       "/>
        <s v="PEDRAZA TORRES FABIAN FERNANDO"/>
        <s v="RODRIGUEZ REVELO PEDRO NEL"/>
        <s v="TRIANA CORREA JAIME HUMBERTO"/>
        <s v="SUA MOJICA JAIRO HERNAN"/>
        <s v="VIVAS PERLAZA JOSE FREDDY"/>
        <s v="TORRES OSPINA LUIS CARLOS"/>
        <s v="AGUAS MONTES GISEL"/>
        <s v="CASTRILLON GRISALES VIVIAN YULIETH"/>
        <s v="ORTEGA LA TORRE IRINA MARCELA"/>
        <s v="REYES PEÑA HERNAN DARIO"/>
        <s v="JOSE CARLOS ROJAS"/>
        <s v="ELIZABETH COY"/>
        <s v="DANIELA CASTAÑEDA"/>
        <s v="ANGEL CISNEROS SAITA"/>
        <s v="JUAN CARLOS NARVAEZ"/>
      </sharedItems>
    </cacheField>
    <cacheField name="VALOR POLIZA AÑO" numFmtId="166">
      <sharedItems containsSemiMixedTypes="0" containsString="0" containsNumber="1" minValue="288261" maxValue="2392534"/>
    </cacheField>
    <cacheField name="VALOR CUTOA QUINENAL" numFmtId="166">
      <sharedItems containsSemiMixedTypes="0" containsString="0" containsNumber="1" minValue="21018.25" maxValue="119626.7"/>
    </cacheField>
    <cacheField name="PLA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n v="1042299"/>
    <n v="52114.95"/>
  </r>
  <r>
    <x v="1"/>
    <x v="1"/>
    <n v="1149500"/>
    <n v="57475"/>
  </r>
  <r>
    <x v="2"/>
    <x v="2"/>
    <n v="432207"/>
    <n v="21610.35"/>
  </r>
  <r>
    <x v="3"/>
    <x v="3"/>
    <n v="518010"/>
    <n v="25900.5"/>
  </r>
  <r>
    <x v="4"/>
    <x v="4"/>
    <n v="432207"/>
    <n v="21610.35"/>
  </r>
  <r>
    <x v="5"/>
    <x v="5"/>
    <n v="1042299"/>
    <n v="52114.95"/>
  </r>
  <r>
    <x v="6"/>
    <x v="6"/>
    <n v="1042299"/>
    <n v="52114.95"/>
  </r>
  <r>
    <x v="7"/>
    <x v="7"/>
    <n v="473450"/>
    <n v="23672.5"/>
  </r>
  <r>
    <x v="0"/>
    <x v="0"/>
    <n v="506850.42016806727"/>
    <n v="25342.521008403364"/>
  </r>
  <r>
    <x v="8"/>
    <x v="8"/>
    <n v="2283190"/>
    <n v="114159.5"/>
  </r>
  <r>
    <x v="9"/>
    <x v="9"/>
    <n v="551430"/>
    <n v="27571.5"/>
  </r>
  <r>
    <x v="4"/>
    <x v="4"/>
    <n v="448500"/>
    <n v="22425"/>
  </r>
  <r>
    <x v="6"/>
    <x v="6"/>
    <n v="516150.42016806727"/>
    <n v="25807.521008403364"/>
  </r>
  <r>
    <x v="10"/>
    <x v="10"/>
    <n v="1042299"/>
    <n v="52114.95"/>
  </r>
  <r>
    <x v="11"/>
    <x v="11"/>
    <n v="1042299"/>
    <n v="52114.95"/>
  </r>
  <r>
    <x v="12"/>
    <x v="12"/>
    <n v="539400"/>
    <n v="26970"/>
  </r>
  <r>
    <x v="13"/>
    <x v="13"/>
    <n v="432207"/>
    <n v="21610.35"/>
  </r>
  <r>
    <x v="14"/>
    <x v="14"/>
    <n v="1042299"/>
    <n v="52114.95"/>
  </r>
  <r>
    <x v="15"/>
    <x v="15"/>
    <n v="1042299.1596638656"/>
    <n v="52114.957983193279"/>
  </r>
  <r>
    <x v="16"/>
    <x v="16"/>
    <n v="1042299.1596638656"/>
    <n v="52114.957983193279"/>
  </r>
  <r>
    <x v="17"/>
    <x v="17"/>
    <n v="1090567"/>
    <n v="54528.35"/>
  </r>
  <r>
    <x v="18"/>
    <x v="18"/>
    <n v="774230"/>
    <n v="38711.5"/>
  </r>
  <r>
    <x v="19"/>
    <x v="19"/>
    <n v="1042299"/>
    <n v="52114.95"/>
  </r>
  <r>
    <x v="20"/>
    <x v="20"/>
    <n v="1399410"/>
    <n v="77745"/>
  </r>
  <r>
    <x v="20"/>
    <x v="20"/>
    <n v="1137500"/>
    <n v="63194.444444444445"/>
  </r>
  <r>
    <x v="21"/>
    <x v="21"/>
    <n v="1548690"/>
    <n v="77434.5"/>
  </r>
  <r>
    <x v="22"/>
    <x v="22"/>
    <n v="2392534"/>
    <n v="119626.7"/>
  </r>
  <r>
    <x v="23"/>
    <x v="23"/>
    <n v="420365"/>
    <n v="21018.25"/>
  </r>
  <r>
    <x v="24"/>
    <x v="24"/>
    <n v="432207"/>
    <n v="21610.35"/>
  </r>
  <r>
    <x v="24"/>
    <x v="24"/>
    <n v="990897"/>
    <n v="49544.85"/>
  </r>
  <r>
    <x v="25"/>
    <x v="25"/>
    <n v="848117"/>
    <n v="47117.611111111109"/>
  </r>
  <r>
    <x v="25"/>
    <x v="25"/>
    <n v="868106"/>
    <n v="48228.111111111109"/>
  </r>
  <r>
    <x v="19"/>
    <x v="19"/>
    <n v="922962"/>
    <n v="51275.666666666664"/>
  </r>
  <r>
    <x v="26"/>
    <x v="26"/>
    <n v="380408"/>
    <n v="47551"/>
  </r>
  <r>
    <x v="1"/>
    <x v="1"/>
    <n v="454273"/>
    <n v="26721.941176470587"/>
  </r>
  <r>
    <x v="25"/>
    <x v="25"/>
    <n v="816706"/>
    <n v="48041.529411764706"/>
  </r>
  <r>
    <x v="27"/>
    <x v="27"/>
    <n v="346456"/>
    <n v="21653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n v="1042299"/>
    <n v="52114.95"/>
    <s v="MHN781"/>
  </r>
  <r>
    <x v="1"/>
    <x v="1"/>
    <n v="1149500"/>
    <n v="57475"/>
    <s v="LYQ841"/>
  </r>
  <r>
    <x v="2"/>
    <x v="2"/>
    <n v="432207"/>
    <n v="21610.35"/>
    <s v="CXJ34H"/>
  </r>
  <r>
    <x v="3"/>
    <x v="3"/>
    <n v="518010"/>
    <n v="25900.5"/>
    <s v="MLU91G"/>
  </r>
  <r>
    <x v="4"/>
    <x v="4"/>
    <n v="432207"/>
    <n v="21610.35"/>
    <s v="RIY16E"/>
  </r>
  <r>
    <x v="5"/>
    <x v="5"/>
    <n v="1042299"/>
    <n v="52114.95"/>
    <s v="RHN458"/>
  </r>
  <r>
    <x v="6"/>
    <x v="6"/>
    <n v="1042299"/>
    <n v="52114.95"/>
    <s v="HYK357"/>
  </r>
  <r>
    <x v="7"/>
    <x v="7"/>
    <n v="473450"/>
    <n v="23672.5"/>
    <s v="PRH84G"/>
  </r>
  <r>
    <x v="0"/>
    <x v="0"/>
    <n v="506850.42016806727"/>
    <n v="25342.521008403364"/>
    <s v="QXP82H"/>
  </r>
  <r>
    <x v="8"/>
    <x v="8"/>
    <n v="2283190"/>
    <n v="114159.5"/>
    <s v="OYN443"/>
  </r>
  <r>
    <x v="9"/>
    <x v="9"/>
    <n v="551430"/>
    <n v="27571.5"/>
    <s v="PZD98G"/>
  </r>
  <r>
    <x v="4"/>
    <x v="4"/>
    <n v="448500"/>
    <n v="22425"/>
    <s v="LJC71E"/>
  </r>
  <r>
    <x v="6"/>
    <x v="6"/>
    <n v="516150.42016806727"/>
    <n v="25807.521008403364"/>
    <s v="QXN48H"/>
  </r>
  <r>
    <x v="10"/>
    <x v="10"/>
    <n v="1042299"/>
    <n v="52114.95"/>
    <s v="GDN528"/>
  </r>
  <r>
    <x v="11"/>
    <x v="11"/>
    <n v="1042299"/>
    <n v="52114.95"/>
    <s v="LQL698"/>
  </r>
  <r>
    <x v="12"/>
    <x v="12"/>
    <n v="539400"/>
    <n v="26970"/>
    <s v="HSC40H"/>
  </r>
  <r>
    <x v="13"/>
    <x v="13"/>
    <n v="432207"/>
    <n v="21610.35"/>
    <s v="ZMG37G"/>
  </r>
  <r>
    <x v="14"/>
    <x v="14"/>
    <n v="1042299"/>
    <n v="52114.95"/>
    <s v="HGZ414"/>
  </r>
  <r>
    <x v="15"/>
    <x v="15"/>
    <n v="1042299.1596638656"/>
    <n v="52114.957983193279"/>
    <s v="FSO364"/>
  </r>
  <r>
    <x v="16"/>
    <x v="16"/>
    <n v="1042299.1596638656"/>
    <n v="52114.957983193279"/>
    <s v="FWN235"/>
  </r>
  <r>
    <x v="17"/>
    <x v="17"/>
    <n v="1090567"/>
    <n v="54528.35"/>
    <s v="IFY037"/>
  </r>
  <r>
    <x v="17"/>
    <x v="17"/>
    <n v="1120932"/>
    <n v="80066.571428571435"/>
    <s v="EPZ473"/>
  </r>
  <r>
    <x v="18"/>
    <x v="18"/>
    <n v="774230"/>
    <n v="38711.5"/>
    <s v="KKS83G"/>
  </r>
  <r>
    <x v="19"/>
    <x v="19"/>
    <n v="1042299"/>
    <n v="52114.95"/>
    <s v="EFO673"/>
  </r>
  <r>
    <x v="20"/>
    <x v="20"/>
    <n v="1399410"/>
    <n v="77745"/>
    <s v="IPW244"/>
  </r>
  <r>
    <x v="20"/>
    <x v="20"/>
    <n v="1137500"/>
    <n v="63194.444444444445"/>
    <s v="YGN27E"/>
  </r>
  <r>
    <x v="21"/>
    <x v="21"/>
    <n v="1548690"/>
    <n v="77434.5"/>
    <s v="LKY555"/>
  </r>
  <r>
    <x v="21"/>
    <x v="21"/>
    <n v="1585271"/>
    <n v="113233.64285714286"/>
    <s v="NQW777"/>
  </r>
  <r>
    <x v="22"/>
    <x v="22"/>
    <n v="2392534"/>
    <n v="119626.7"/>
    <s v="LMX163"/>
  </r>
  <r>
    <x v="23"/>
    <x v="23"/>
    <n v="420365"/>
    <n v="21018.25"/>
    <s v="SOY69H"/>
  </r>
  <r>
    <x v="24"/>
    <x v="24"/>
    <n v="432207"/>
    <n v="21610.35"/>
    <s v="ORK82G"/>
  </r>
  <r>
    <x v="24"/>
    <x v="24"/>
    <n v="1042299"/>
    <n v="46138.5"/>
    <s v="JZR934"/>
  </r>
  <r>
    <x v="25"/>
    <x v="25"/>
    <n v="848117"/>
    <n v="47117.611111111109"/>
    <s v="LMK214"/>
  </r>
  <r>
    <x v="25"/>
    <x v="25"/>
    <n v="868106"/>
    <n v="48228.111111111109"/>
    <s v="MWT475"/>
  </r>
  <r>
    <x v="19"/>
    <x v="19"/>
    <n v="922962"/>
    <n v="51275.666666666664"/>
    <s v="QJR487"/>
  </r>
  <r>
    <x v="26"/>
    <x v="26"/>
    <n v="380408"/>
    <n v="47551"/>
    <s v="WPC23G"/>
  </r>
  <r>
    <x v="1"/>
    <x v="1"/>
    <n v="454273"/>
    <n v="26721.941176470587"/>
    <s v="URC80H"/>
  </r>
  <r>
    <x v="25"/>
    <x v="25"/>
    <n v="816706"/>
    <n v="48041.529411764706"/>
    <s v="HMO670"/>
  </r>
  <r>
    <x v="27"/>
    <x v="27"/>
    <n v="346456"/>
    <n v="21653.5"/>
    <s v="DVD76H"/>
  </r>
  <r>
    <x v="28"/>
    <x v="28"/>
    <n v="371273"/>
    <n v="30939.416666666668"/>
    <s v="XMH46H"/>
  </r>
  <r>
    <x v="29"/>
    <x v="29"/>
    <n v="288261"/>
    <n v="24021.75"/>
    <s v="IHQ08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E0579-4229-4297-B3EF-E35F3EAFF98E}" name="TablaDinámica2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3:C33" firstHeaderRow="2" firstDataRow="2" firstDataCol="2"/>
  <pivotFields count="4">
    <pivotField axis="axisRow" compact="0" outline="0" showAll="0" defaultSubtotal="0">
      <items count="28">
        <item x="14"/>
        <item x="17"/>
        <item x="5"/>
        <item x="0"/>
        <item x="1"/>
        <item x="22"/>
        <item x="21"/>
        <item x="24"/>
        <item x="6"/>
        <item x="16"/>
        <item x="19"/>
        <item x="8"/>
        <item x="2"/>
        <item x="27"/>
        <item x="18"/>
        <item x="9"/>
        <item x="12"/>
        <item x="23"/>
        <item x="15"/>
        <item x="7"/>
        <item x="3"/>
        <item x="26"/>
        <item x="25"/>
        <item x="10"/>
        <item x="20"/>
        <item x="4"/>
        <item x="13"/>
        <item x="11"/>
      </items>
    </pivotField>
    <pivotField axis="axisRow" compact="0" outline="0" showAll="0" defaultSubtotal="0">
      <items count="28">
        <item x="21"/>
        <item x="0"/>
        <item x="1"/>
        <item x="2"/>
        <item x="3"/>
        <item x="10"/>
        <item x="22"/>
        <item x="5"/>
        <item x="6"/>
        <item x="7"/>
        <item x="27"/>
        <item x="26"/>
        <item x="8"/>
        <item x="9"/>
        <item x="4"/>
        <item x="25"/>
        <item x="12"/>
        <item x="13"/>
        <item x="23"/>
        <item x="15"/>
        <item x="11"/>
        <item x="14"/>
        <item x="24"/>
        <item x="16"/>
        <item x="18"/>
        <item x="20"/>
        <item x="17"/>
        <item x="19"/>
      </items>
    </pivotField>
    <pivotField compact="0" numFmtId="166" outline="0" showAll="0" defaultSubtotal="0"/>
    <pivotField dataField="1" compact="0" numFmtId="166" outline="0" showAll="0" defaultSubtotal="0"/>
  </pivotFields>
  <rowFields count="2">
    <field x="0"/>
    <field x="1"/>
  </rowFields>
  <rowItems count="29">
    <i>
      <x/>
      <x v="21"/>
    </i>
    <i>
      <x v="1"/>
      <x v="26"/>
    </i>
    <i>
      <x v="2"/>
      <x v="7"/>
    </i>
    <i>
      <x v="3"/>
      <x v="1"/>
    </i>
    <i>
      <x v="4"/>
      <x v="2"/>
    </i>
    <i>
      <x v="5"/>
      <x v="6"/>
    </i>
    <i>
      <x v="6"/>
      <x/>
    </i>
    <i>
      <x v="7"/>
      <x v="22"/>
    </i>
    <i>
      <x v="8"/>
      <x v="8"/>
    </i>
    <i>
      <x v="9"/>
      <x v="23"/>
    </i>
    <i>
      <x v="10"/>
      <x v="27"/>
    </i>
    <i>
      <x v="11"/>
      <x v="12"/>
    </i>
    <i>
      <x v="12"/>
      <x v="3"/>
    </i>
    <i>
      <x v="13"/>
      <x v="10"/>
    </i>
    <i>
      <x v="14"/>
      <x v="24"/>
    </i>
    <i>
      <x v="15"/>
      <x v="13"/>
    </i>
    <i>
      <x v="16"/>
      <x v="16"/>
    </i>
    <i>
      <x v="17"/>
      <x v="18"/>
    </i>
    <i>
      <x v="18"/>
      <x v="19"/>
    </i>
    <i>
      <x v="19"/>
      <x v="9"/>
    </i>
    <i>
      <x v="20"/>
      <x v="4"/>
    </i>
    <i>
      <x v="21"/>
      <x v="11"/>
    </i>
    <i>
      <x v="22"/>
      <x v="15"/>
    </i>
    <i>
      <x v="23"/>
      <x v="5"/>
    </i>
    <i>
      <x v="24"/>
      <x v="25"/>
    </i>
    <i>
      <x v="25"/>
      <x v="14"/>
    </i>
    <i>
      <x v="26"/>
      <x v="17"/>
    </i>
    <i>
      <x v="27"/>
      <x v="20"/>
    </i>
    <i t="grand">
      <x/>
    </i>
  </rowItems>
  <colItems count="1">
    <i/>
  </colItems>
  <dataFields count="1">
    <dataField name="Suma de VALOR CUTOA QUINEN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9F383-06BB-4834-B539-DC8C8318246D}" name="TablaDinámica4" cacheId="2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K5:N37" firstHeaderRow="1" firstDataRow="2" firstDataCol="2"/>
  <pivotFields count="5">
    <pivotField axis="axisRow" compact="0" outline="0" showAll="0" defaultSubtotal="0">
      <items count="30">
        <item x="14"/>
        <item x="17"/>
        <item x="5"/>
        <item x="0"/>
        <item x="1"/>
        <item x="22"/>
        <item x="21"/>
        <item x="24"/>
        <item x="6"/>
        <item x="16"/>
        <item x="19"/>
        <item x="8"/>
        <item x="2"/>
        <item x="27"/>
        <item x="29"/>
        <item x="18"/>
        <item x="9"/>
        <item x="12"/>
        <item x="23"/>
        <item x="15"/>
        <item x="7"/>
        <item x="3"/>
        <item x="26"/>
        <item x="25"/>
        <item x="28"/>
        <item x="10"/>
        <item x="20"/>
        <item x="4"/>
        <item x="13"/>
        <item x="11"/>
      </items>
    </pivotField>
    <pivotField axis="axisRow" compact="0" outline="0" showAll="0" defaultSubtotal="0">
      <items count="30">
        <item x="21"/>
        <item x="0"/>
        <item x="1"/>
        <item x="2"/>
        <item x="3"/>
        <item x="10"/>
        <item x="22"/>
        <item x="5"/>
        <item x="6"/>
        <item x="7"/>
        <item x="27"/>
        <item x="26"/>
        <item x="8"/>
        <item x="9"/>
        <item x="4"/>
        <item x="25"/>
        <item x="12"/>
        <item x="13"/>
        <item x="23"/>
        <item x="15"/>
        <item x="11"/>
        <item x="14"/>
        <item x="24"/>
        <item x="16"/>
        <item x="18"/>
        <item x="20"/>
        <item x="17"/>
        <item x="19"/>
        <item x="28"/>
        <item x="29"/>
      </items>
    </pivotField>
    <pivotField dataField="1" compact="0" numFmtId="166" outline="0" showAll="0" defaultSubtotal="0"/>
    <pivotField dataField="1" compact="0" numFmtId="166" outline="0" showAll="0" defaultSubtotal="0"/>
    <pivotField compact="0" outline="0" showAll="0" defaultSubtotal="0"/>
  </pivotFields>
  <rowFields count="2">
    <field x="0"/>
    <field x="1"/>
  </rowFields>
  <rowItems count="31">
    <i>
      <x/>
      <x v="21"/>
    </i>
    <i>
      <x v="1"/>
      <x v="26"/>
    </i>
    <i>
      <x v="2"/>
      <x v="7"/>
    </i>
    <i>
      <x v="3"/>
      <x v="1"/>
    </i>
    <i>
      <x v="4"/>
      <x v="2"/>
    </i>
    <i>
      <x v="5"/>
      <x v="6"/>
    </i>
    <i>
      <x v="6"/>
      <x/>
    </i>
    <i>
      <x v="7"/>
      <x v="22"/>
    </i>
    <i>
      <x v="8"/>
      <x v="8"/>
    </i>
    <i>
      <x v="9"/>
      <x v="23"/>
    </i>
    <i>
      <x v="10"/>
      <x v="27"/>
    </i>
    <i>
      <x v="11"/>
      <x v="12"/>
    </i>
    <i>
      <x v="12"/>
      <x v="3"/>
    </i>
    <i>
      <x v="13"/>
      <x v="10"/>
    </i>
    <i>
      <x v="14"/>
      <x v="29"/>
    </i>
    <i>
      <x v="15"/>
      <x v="24"/>
    </i>
    <i>
      <x v="16"/>
      <x v="13"/>
    </i>
    <i>
      <x v="17"/>
      <x v="16"/>
    </i>
    <i>
      <x v="18"/>
      <x v="18"/>
    </i>
    <i>
      <x v="19"/>
      <x v="19"/>
    </i>
    <i>
      <x v="20"/>
      <x v="9"/>
    </i>
    <i>
      <x v="21"/>
      <x v="4"/>
    </i>
    <i>
      <x v="22"/>
      <x v="11"/>
    </i>
    <i>
      <x v="23"/>
      <x v="15"/>
    </i>
    <i>
      <x v="24"/>
      <x v="28"/>
    </i>
    <i>
      <x v="25"/>
      <x v="5"/>
    </i>
    <i>
      <x v="26"/>
      <x v="25"/>
    </i>
    <i>
      <x v="27"/>
      <x v="14"/>
    </i>
    <i>
      <x v="28"/>
      <x v="17"/>
    </i>
    <i>
      <x v="29"/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POLIZA AÑO" fld="2" baseField="0" baseItem="0"/>
    <dataField name="Suma de VALOR CUTOA QUINEN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C7EE-108C-4A0C-9EF6-CDE4F95D16BD}">
  <dimension ref="A3:C33"/>
  <sheetViews>
    <sheetView workbookViewId="0">
      <selection activeCell="E12" sqref="E12"/>
    </sheetView>
  </sheetViews>
  <sheetFormatPr baseColWidth="10" defaultRowHeight="15"/>
  <cols>
    <col min="1" max="1" width="45" bestFit="1" customWidth="1"/>
    <col min="2" max="2" width="41.140625" bestFit="1" customWidth="1"/>
    <col min="3" max="3" width="12" bestFit="1" customWidth="1"/>
  </cols>
  <sheetData>
    <row r="3" spans="1:3">
      <c r="A3" s="64" t="s">
        <v>436</v>
      </c>
    </row>
    <row r="4" spans="1:3">
      <c r="A4" s="64" t="s">
        <v>5</v>
      </c>
      <c r="B4" s="64" t="s">
        <v>6</v>
      </c>
      <c r="C4" t="s">
        <v>437</v>
      </c>
    </row>
    <row r="5" spans="1:3">
      <c r="A5" s="34">
        <v>8028607</v>
      </c>
      <c r="B5" s="34" t="s">
        <v>44</v>
      </c>
      <c r="C5" s="65">
        <v>52114.95</v>
      </c>
    </row>
    <row r="6" spans="1:3">
      <c r="A6" s="34">
        <v>10025741</v>
      </c>
      <c r="B6" s="34" t="s">
        <v>51</v>
      </c>
      <c r="C6" s="65">
        <v>54528.35</v>
      </c>
    </row>
    <row r="7" spans="1:3">
      <c r="A7" s="34">
        <v>16287985</v>
      </c>
      <c r="B7" s="34" t="s">
        <v>68</v>
      </c>
      <c r="C7" s="65">
        <v>52114.95</v>
      </c>
    </row>
    <row r="8" spans="1:3">
      <c r="A8" s="34">
        <v>16726060</v>
      </c>
      <c r="B8" s="34" t="s">
        <v>84</v>
      </c>
      <c r="C8" s="65">
        <v>77457.471008403358</v>
      </c>
    </row>
    <row r="9" spans="1:3">
      <c r="A9" s="34">
        <v>16765038</v>
      </c>
      <c r="B9" s="34" t="s">
        <v>86</v>
      </c>
      <c r="C9" s="65">
        <v>84196.941176470587</v>
      </c>
    </row>
    <row r="10" spans="1:3">
      <c r="A10" s="34">
        <v>38561178</v>
      </c>
      <c r="B10" s="34" t="s">
        <v>114</v>
      </c>
      <c r="C10" s="65">
        <v>119626.7</v>
      </c>
    </row>
    <row r="11" spans="1:3">
      <c r="A11" s="34">
        <v>67032011</v>
      </c>
      <c r="B11" s="34" t="s">
        <v>128</v>
      </c>
      <c r="C11" s="65">
        <v>77434.5</v>
      </c>
    </row>
    <row r="12" spans="1:3">
      <c r="A12" s="34">
        <v>94362404</v>
      </c>
      <c r="B12" s="34" t="s">
        <v>160</v>
      </c>
      <c r="C12" s="65">
        <v>71155.199999999997</v>
      </c>
    </row>
    <row r="13" spans="1:3">
      <c r="A13" s="34">
        <v>94384810</v>
      </c>
      <c r="B13" s="34" t="s">
        <v>165</v>
      </c>
      <c r="C13" s="65">
        <v>77922.471008403358</v>
      </c>
    </row>
    <row r="14" spans="1:3">
      <c r="A14" s="34">
        <v>94412591</v>
      </c>
      <c r="B14" s="34" t="s">
        <v>167</v>
      </c>
      <c r="C14" s="65">
        <v>52114.957983193279</v>
      </c>
    </row>
    <row r="15" spans="1:3">
      <c r="A15" s="34">
        <v>94490967</v>
      </c>
      <c r="B15" s="34" t="s">
        <v>172</v>
      </c>
      <c r="C15" s="65">
        <v>103390.61666666667</v>
      </c>
    </row>
    <row r="16" spans="1:3">
      <c r="A16" s="34">
        <v>94552929</v>
      </c>
      <c r="B16" s="34" t="s">
        <v>181</v>
      </c>
      <c r="C16" s="65">
        <v>114159.5</v>
      </c>
    </row>
    <row r="17" spans="1:3">
      <c r="A17" s="34">
        <v>1004343552</v>
      </c>
      <c r="B17" s="34" t="s">
        <v>413</v>
      </c>
      <c r="C17" s="65">
        <v>21610.35</v>
      </c>
    </row>
    <row r="18" spans="1:3">
      <c r="A18" s="34">
        <v>1006166197</v>
      </c>
      <c r="B18" s="34" t="s">
        <v>433</v>
      </c>
      <c r="C18" s="65">
        <v>21653.5</v>
      </c>
    </row>
    <row r="19" spans="1:3">
      <c r="A19" s="34">
        <v>1019041186</v>
      </c>
      <c r="B19" s="34" t="s">
        <v>210</v>
      </c>
      <c r="C19" s="65">
        <v>38711.5</v>
      </c>
    </row>
    <row r="20" spans="1:3">
      <c r="A20" s="34">
        <v>1045744953</v>
      </c>
      <c r="B20" s="34" t="s">
        <v>220</v>
      </c>
      <c r="C20" s="65">
        <v>27571.5</v>
      </c>
    </row>
    <row r="21" spans="1:3">
      <c r="A21" s="34">
        <v>1047463260</v>
      </c>
      <c r="B21" s="34" t="s">
        <v>221</v>
      </c>
      <c r="C21" s="65">
        <v>26970</v>
      </c>
    </row>
    <row r="22" spans="1:3">
      <c r="A22" s="34">
        <v>1063292206</v>
      </c>
      <c r="B22" s="34" t="s">
        <v>230</v>
      </c>
      <c r="C22" s="65">
        <v>21018.25</v>
      </c>
    </row>
    <row r="23" spans="1:3">
      <c r="A23" s="34">
        <v>1098650016</v>
      </c>
      <c r="B23" s="34" t="s">
        <v>245</v>
      </c>
      <c r="C23" s="65">
        <v>52114.957983193279</v>
      </c>
    </row>
    <row r="24" spans="1:3">
      <c r="A24" s="34">
        <v>1098757060</v>
      </c>
      <c r="B24" s="34" t="s">
        <v>414</v>
      </c>
      <c r="C24" s="65">
        <v>23672.5</v>
      </c>
    </row>
    <row r="25" spans="1:3">
      <c r="A25" s="34">
        <v>1101684849</v>
      </c>
      <c r="B25" s="34" t="s">
        <v>251</v>
      </c>
      <c r="C25" s="65">
        <v>25900.5</v>
      </c>
    </row>
    <row r="26" spans="1:3">
      <c r="A26" s="34">
        <v>1105613195</v>
      </c>
      <c r="B26" s="34" t="s">
        <v>429</v>
      </c>
      <c r="C26" s="65">
        <v>47551</v>
      </c>
    </row>
    <row r="27" spans="1:3">
      <c r="A27" s="34">
        <v>1113039658</v>
      </c>
      <c r="B27" s="34" t="s">
        <v>425</v>
      </c>
      <c r="C27" s="65">
        <v>143387.25163398692</v>
      </c>
    </row>
    <row r="28" spans="1:3">
      <c r="A28" s="34">
        <v>1143828516</v>
      </c>
      <c r="B28" s="34" t="s">
        <v>308</v>
      </c>
      <c r="C28" s="65">
        <v>52114.95</v>
      </c>
    </row>
    <row r="29" spans="1:3">
      <c r="A29" s="34">
        <v>1143840049</v>
      </c>
      <c r="B29" s="34" t="s">
        <v>310</v>
      </c>
      <c r="C29" s="65">
        <v>140939.44444444444</v>
      </c>
    </row>
    <row r="30" spans="1:3">
      <c r="A30" s="34">
        <v>1144195582</v>
      </c>
      <c r="B30" s="34" t="s">
        <v>347</v>
      </c>
      <c r="C30" s="65">
        <v>44035.35</v>
      </c>
    </row>
    <row r="31" spans="1:3">
      <c r="A31" s="34">
        <v>1144213479</v>
      </c>
      <c r="B31" s="34" t="s">
        <v>367</v>
      </c>
      <c r="C31" s="65">
        <v>21610.35</v>
      </c>
    </row>
    <row r="32" spans="1:3">
      <c r="A32" s="34">
        <v>1193543777</v>
      </c>
      <c r="B32" s="34" t="s">
        <v>360</v>
      </c>
      <c r="C32" s="65">
        <v>52114.95</v>
      </c>
    </row>
    <row r="33" spans="1:3">
      <c r="A33" s="34" t="s">
        <v>435</v>
      </c>
      <c r="C33" s="65">
        <v>1697192.9619047621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ACB7-BF97-43C8-82E0-348FAA601F9A}">
  <sheetPr>
    <pageSetUpPr fitToPage="1"/>
  </sheetPr>
  <dimension ref="A1:N108"/>
  <sheetViews>
    <sheetView tabSelected="1" view="pageBreakPreview" topLeftCell="B3" zoomScaleNormal="100" zoomScaleSheetLayoutView="100" workbookViewId="0">
      <selection activeCell="H21" sqref="H21"/>
    </sheetView>
  </sheetViews>
  <sheetFormatPr baseColWidth="10" defaultRowHeight="15"/>
  <cols>
    <col min="1" max="1" width="11.5703125" hidden="1" customWidth="1"/>
    <col min="2" max="2" width="41.140625" bestFit="1" customWidth="1"/>
    <col min="3" max="3" width="32.140625" style="8" bestFit="1" customWidth="1"/>
    <col min="4" max="4" width="16.140625" style="8" bestFit="1" customWidth="1"/>
    <col min="5" max="5" width="16.28515625" customWidth="1"/>
    <col min="6" max="6" width="11.28515625" style="1" customWidth="1"/>
    <col min="7" max="7" width="34.85546875" customWidth="1"/>
    <col min="8" max="8" width="9" customWidth="1"/>
    <col min="9" max="9" width="13" bestFit="1" customWidth="1"/>
    <col min="11" max="12" width="41.140625" bestFit="1" customWidth="1"/>
    <col min="13" max="13" width="26.7109375" bestFit="1" customWidth="1"/>
    <col min="14" max="14" width="32.140625" bestFit="1" customWidth="1"/>
  </cols>
  <sheetData>
    <row r="1" spans="1:14" ht="30">
      <c r="B1" s="9" t="s">
        <v>447</v>
      </c>
      <c r="C1" s="9"/>
      <c r="D1" s="9"/>
      <c r="E1" s="9"/>
      <c r="G1" s="2" t="s">
        <v>0</v>
      </c>
      <c r="H1" s="27" t="s">
        <v>422</v>
      </c>
    </row>
    <row r="2" spans="1:14" ht="45">
      <c r="B2" s="66" t="s">
        <v>1</v>
      </c>
      <c r="C2" s="66"/>
      <c r="D2" s="66"/>
      <c r="E2" s="66"/>
      <c r="G2" s="2" t="s">
        <v>2</v>
      </c>
      <c r="H2" s="27" t="s">
        <v>423</v>
      </c>
    </row>
    <row r="3" spans="1:14" ht="15.75">
      <c r="B3" s="66" t="s">
        <v>3</v>
      </c>
      <c r="C3" s="66"/>
      <c r="D3" s="66"/>
      <c r="E3" s="66"/>
    </row>
    <row r="4" spans="1:14">
      <c r="A4" s="3"/>
      <c r="B4" s="3"/>
      <c r="C4" s="4"/>
      <c r="D4" s="4"/>
      <c r="E4" s="4"/>
    </row>
    <row r="5" spans="1:14" ht="24">
      <c r="A5" s="5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5" t="s">
        <v>9</v>
      </c>
      <c r="G5" s="31" t="s">
        <v>368</v>
      </c>
      <c r="M5" s="64" t="s">
        <v>448</v>
      </c>
    </row>
    <row r="6" spans="1:14">
      <c r="B6" s="47">
        <v>16726060</v>
      </c>
      <c r="C6" s="28" t="s">
        <v>84</v>
      </c>
      <c r="D6" s="48">
        <v>1042299</v>
      </c>
      <c r="E6" s="44">
        <f>+D6/20</f>
        <v>52114.95</v>
      </c>
      <c r="F6" s="30" t="s">
        <v>10</v>
      </c>
      <c r="G6" s="49"/>
      <c r="H6" s="34"/>
      <c r="I6" s="32"/>
      <c r="K6" s="64" t="s">
        <v>5</v>
      </c>
      <c r="L6" s="64" t="s">
        <v>6</v>
      </c>
      <c r="M6" s="34" t="s">
        <v>449</v>
      </c>
      <c r="N6" s="34" t="s">
        <v>436</v>
      </c>
    </row>
    <row r="7" spans="1:14">
      <c r="B7" s="47">
        <v>16765038</v>
      </c>
      <c r="C7" s="28" t="s">
        <v>86</v>
      </c>
      <c r="D7" s="48">
        <v>1149500</v>
      </c>
      <c r="E7" s="44">
        <f t="shared" ref="E7:E35" si="0">+D7/20</f>
        <v>57475</v>
      </c>
      <c r="F7" s="30" t="s">
        <v>25</v>
      </c>
      <c r="G7" s="46"/>
      <c r="H7" s="34"/>
      <c r="I7" s="32"/>
      <c r="K7" s="34">
        <v>8028607</v>
      </c>
      <c r="L7" s="34" t="s">
        <v>44</v>
      </c>
      <c r="M7" s="65">
        <v>1042299</v>
      </c>
      <c r="N7" s="65">
        <v>52114.95</v>
      </c>
    </row>
    <row r="8" spans="1:14">
      <c r="B8" s="28">
        <v>1004343552</v>
      </c>
      <c r="C8" s="28" t="s">
        <v>413</v>
      </c>
      <c r="D8" s="44">
        <v>432207</v>
      </c>
      <c r="E8" s="44">
        <f t="shared" si="0"/>
        <v>21610.35</v>
      </c>
      <c r="F8" s="45" t="s">
        <v>370</v>
      </c>
      <c r="G8" s="46"/>
      <c r="H8" s="34"/>
      <c r="I8" s="32"/>
      <c r="K8" s="34">
        <v>10025741</v>
      </c>
      <c r="L8" s="34" t="s">
        <v>51</v>
      </c>
      <c r="M8" s="65">
        <v>2211499</v>
      </c>
      <c r="N8" s="65">
        <v>134594.92142857143</v>
      </c>
    </row>
    <row r="9" spans="1:14" ht="14.25" customHeight="1">
      <c r="B9" s="28">
        <v>1101684849</v>
      </c>
      <c r="C9" s="28" t="s">
        <v>251</v>
      </c>
      <c r="D9" s="44">
        <v>518010</v>
      </c>
      <c r="E9" s="44">
        <f t="shared" si="0"/>
        <v>25900.5</v>
      </c>
      <c r="F9" s="30" t="s">
        <v>11</v>
      </c>
      <c r="G9" s="46"/>
      <c r="H9" s="34"/>
      <c r="I9" s="32"/>
      <c r="K9" s="34">
        <v>16287985</v>
      </c>
      <c r="L9" s="34" t="s">
        <v>68</v>
      </c>
      <c r="M9" s="65">
        <v>1042299</v>
      </c>
      <c r="N9" s="65">
        <v>52114.95</v>
      </c>
    </row>
    <row r="10" spans="1:14">
      <c r="A10" s="43"/>
      <c r="B10" s="28">
        <v>1144195582</v>
      </c>
      <c r="C10" s="28" t="s">
        <v>347</v>
      </c>
      <c r="D10" s="44">
        <v>432207</v>
      </c>
      <c r="E10" s="44">
        <f t="shared" si="0"/>
        <v>21610.35</v>
      </c>
      <c r="F10" s="30" t="s">
        <v>371</v>
      </c>
      <c r="G10" s="46"/>
      <c r="H10" s="34"/>
      <c r="I10" s="32"/>
      <c r="K10" s="34">
        <v>16726060</v>
      </c>
      <c r="L10" s="34" t="s">
        <v>84</v>
      </c>
      <c r="M10" s="65">
        <v>1549149.4201680673</v>
      </c>
      <c r="N10" s="65">
        <v>77457.471008403358</v>
      </c>
    </row>
    <row r="11" spans="1:14">
      <c r="B11" s="28">
        <v>16287985</v>
      </c>
      <c r="C11" s="28" t="s">
        <v>68</v>
      </c>
      <c r="D11" s="44">
        <v>1042299</v>
      </c>
      <c r="E11" s="44">
        <v>0</v>
      </c>
      <c r="F11" s="45" t="s">
        <v>12</v>
      </c>
      <c r="G11" s="46" t="s">
        <v>451</v>
      </c>
      <c r="H11" s="34"/>
      <c r="I11" s="32"/>
      <c r="K11" s="34">
        <v>16765038</v>
      </c>
      <c r="L11" s="34" t="s">
        <v>86</v>
      </c>
      <c r="M11" s="65">
        <v>1603773</v>
      </c>
      <c r="N11" s="65">
        <v>84196.941176470587</v>
      </c>
    </row>
    <row r="12" spans="1:14">
      <c r="B12" s="28">
        <v>94384810</v>
      </c>
      <c r="C12" s="28" t="s">
        <v>165</v>
      </c>
      <c r="D12" s="44">
        <v>1042299</v>
      </c>
      <c r="E12" s="44">
        <f t="shared" si="0"/>
        <v>52114.95</v>
      </c>
      <c r="F12" s="30" t="s">
        <v>13</v>
      </c>
      <c r="G12" s="46"/>
      <c r="H12" s="34"/>
      <c r="I12" s="32"/>
      <c r="K12" s="34">
        <v>38561178</v>
      </c>
      <c r="L12" s="34" t="s">
        <v>114</v>
      </c>
      <c r="M12" s="65">
        <v>2392534</v>
      </c>
      <c r="N12" s="65">
        <v>119626.7</v>
      </c>
    </row>
    <row r="13" spans="1:14">
      <c r="B13" s="28">
        <v>1098757060</v>
      </c>
      <c r="C13" s="28" t="s">
        <v>414</v>
      </c>
      <c r="D13" s="44">
        <v>473450</v>
      </c>
      <c r="E13" s="44">
        <f t="shared" si="0"/>
        <v>23672.5</v>
      </c>
      <c r="F13" s="45" t="s">
        <v>372</v>
      </c>
      <c r="G13" s="46"/>
      <c r="H13" s="34"/>
      <c r="I13" s="32"/>
      <c r="K13" s="34">
        <v>67032011</v>
      </c>
      <c r="L13" s="34" t="s">
        <v>128</v>
      </c>
      <c r="M13" s="65">
        <v>3133961</v>
      </c>
      <c r="N13" s="65">
        <v>190668.14285714284</v>
      </c>
    </row>
    <row r="14" spans="1:14">
      <c r="B14" s="28">
        <v>16726060</v>
      </c>
      <c r="C14" s="28" t="s">
        <v>84</v>
      </c>
      <c r="D14" s="44">
        <v>506850.42016806727</v>
      </c>
      <c r="E14" s="44">
        <f t="shared" si="0"/>
        <v>25342.521008403364</v>
      </c>
      <c r="F14" s="45" t="s">
        <v>415</v>
      </c>
      <c r="G14" s="46"/>
      <c r="H14" s="34"/>
      <c r="I14" s="32"/>
      <c r="K14" s="34">
        <v>94362404</v>
      </c>
      <c r="L14" s="34" t="s">
        <v>160</v>
      </c>
      <c r="M14" s="65">
        <v>1474506</v>
      </c>
      <c r="N14" s="65">
        <v>67748.850000000006</v>
      </c>
    </row>
    <row r="15" spans="1:14">
      <c r="B15" s="28">
        <v>94552929</v>
      </c>
      <c r="C15" s="28" t="s">
        <v>181</v>
      </c>
      <c r="D15" s="44">
        <v>2283190</v>
      </c>
      <c r="E15" s="44">
        <f t="shared" si="0"/>
        <v>114159.5</v>
      </c>
      <c r="F15" s="30" t="s">
        <v>416</v>
      </c>
      <c r="G15" s="46"/>
      <c r="H15" s="34"/>
      <c r="I15" s="32"/>
      <c r="K15" s="34">
        <v>94384810</v>
      </c>
      <c r="L15" s="34" t="s">
        <v>165</v>
      </c>
      <c r="M15" s="65">
        <v>1558449.4201680673</v>
      </c>
      <c r="N15" s="65">
        <v>77922.471008403358</v>
      </c>
    </row>
    <row r="16" spans="1:14">
      <c r="B16" s="28">
        <v>1045744953</v>
      </c>
      <c r="C16" s="28" t="s">
        <v>220</v>
      </c>
      <c r="D16" s="44">
        <v>551430</v>
      </c>
      <c r="E16" s="44">
        <f t="shared" si="0"/>
        <v>27571.5</v>
      </c>
      <c r="F16" s="30" t="s">
        <v>14</v>
      </c>
      <c r="G16" s="46"/>
      <c r="H16" s="34"/>
      <c r="I16" s="32"/>
      <c r="K16" s="34">
        <v>94412591</v>
      </c>
      <c r="L16" s="34" t="s">
        <v>167</v>
      </c>
      <c r="M16" s="65">
        <v>1042299.1596638656</v>
      </c>
      <c r="N16" s="65">
        <v>52114.957983193279</v>
      </c>
    </row>
    <row r="17" spans="1:14">
      <c r="B17" s="28">
        <v>1144195582</v>
      </c>
      <c r="C17" s="28" t="s">
        <v>347</v>
      </c>
      <c r="D17" s="44">
        <v>448500</v>
      </c>
      <c r="E17" s="44">
        <f t="shared" si="0"/>
        <v>22425</v>
      </c>
      <c r="F17" s="30" t="s">
        <v>15</v>
      </c>
      <c r="G17" s="46"/>
      <c r="H17" s="34"/>
      <c r="I17" s="32"/>
      <c r="K17" s="34">
        <v>94490967</v>
      </c>
      <c r="L17" s="34" t="s">
        <v>172</v>
      </c>
      <c r="M17" s="65">
        <v>1965261</v>
      </c>
      <c r="N17" s="65">
        <v>103390.61666666667</v>
      </c>
    </row>
    <row r="18" spans="1:14">
      <c r="B18" s="28">
        <v>94384810</v>
      </c>
      <c r="C18" s="28" t="s">
        <v>165</v>
      </c>
      <c r="D18" s="44">
        <v>516150.42016806727</v>
      </c>
      <c r="E18" s="44">
        <f t="shared" si="0"/>
        <v>25807.521008403364</v>
      </c>
      <c r="F18" s="45" t="s">
        <v>417</v>
      </c>
      <c r="G18" s="46"/>
      <c r="H18" s="34"/>
      <c r="I18" s="32"/>
      <c r="K18" s="34">
        <v>94552929</v>
      </c>
      <c r="L18" s="34" t="s">
        <v>181</v>
      </c>
      <c r="M18" s="65">
        <v>2283190</v>
      </c>
      <c r="N18" s="65">
        <v>114159.5</v>
      </c>
    </row>
    <row r="19" spans="1:14">
      <c r="B19" s="28">
        <v>1143828516</v>
      </c>
      <c r="C19" s="28" t="s">
        <v>308</v>
      </c>
      <c r="D19" s="50">
        <v>1042299</v>
      </c>
      <c r="E19" s="44">
        <f t="shared" si="0"/>
        <v>52114.95</v>
      </c>
      <c r="F19" s="45" t="s">
        <v>24</v>
      </c>
      <c r="G19" s="46"/>
      <c r="H19" s="34"/>
      <c r="I19" s="32"/>
      <c r="K19" s="34">
        <v>1004343552</v>
      </c>
      <c r="L19" s="34" t="s">
        <v>413</v>
      </c>
      <c r="M19" s="65">
        <v>432207</v>
      </c>
      <c r="N19" s="65">
        <v>21610.35</v>
      </c>
    </row>
    <row r="20" spans="1:14">
      <c r="B20" s="28">
        <v>1193543777</v>
      </c>
      <c r="C20" s="28" t="s">
        <v>360</v>
      </c>
      <c r="D20" s="44">
        <v>1042299</v>
      </c>
      <c r="E20" s="44">
        <f t="shared" si="0"/>
        <v>52114.95</v>
      </c>
      <c r="F20" s="45" t="s">
        <v>418</v>
      </c>
      <c r="G20" s="46"/>
      <c r="H20" s="34"/>
      <c r="I20" s="32"/>
      <c r="K20" s="34">
        <v>1006166197</v>
      </c>
      <c r="L20" s="34" t="s">
        <v>433</v>
      </c>
      <c r="M20" s="65">
        <v>346456</v>
      </c>
      <c r="N20" s="65">
        <v>21653.5</v>
      </c>
    </row>
    <row r="21" spans="1:14">
      <c r="B21" s="28">
        <v>1047463260</v>
      </c>
      <c r="C21" s="28" t="s">
        <v>221</v>
      </c>
      <c r="D21" s="44">
        <v>539400</v>
      </c>
      <c r="E21" s="44">
        <f t="shared" si="0"/>
        <v>26970</v>
      </c>
      <c r="F21" s="30" t="s">
        <v>369</v>
      </c>
      <c r="G21" s="46"/>
      <c r="H21" s="34"/>
      <c r="I21" s="32"/>
      <c r="K21" s="34">
        <v>1017176446</v>
      </c>
      <c r="L21" s="34" t="s">
        <v>445</v>
      </c>
      <c r="M21" s="65">
        <v>288261</v>
      </c>
      <c r="N21" s="65">
        <v>24021.75</v>
      </c>
    </row>
    <row r="22" spans="1:14">
      <c r="B22" s="28">
        <v>1144213479</v>
      </c>
      <c r="C22" s="28" t="s">
        <v>367</v>
      </c>
      <c r="D22" s="44">
        <v>432207</v>
      </c>
      <c r="E22" s="44">
        <v>0</v>
      </c>
      <c r="F22" s="30" t="s">
        <v>22</v>
      </c>
      <c r="G22" s="46" t="s">
        <v>451</v>
      </c>
      <c r="H22" s="34"/>
      <c r="I22" s="32"/>
      <c r="K22" s="34">
        <v>1019041186</v>
      </c>
      <c r="L22" s="34" t="s">
        <v>210</v>
      </c>
      <c r="M22" s="65">
        <v>774230</v>
      </c>
      <c r="N22" s="65">
        <v>38711.5</v>
      </c>
    </row>
    <row r="23" spans="1:14">
      <c r="B23" s="28">
        <v>8028607</v>
      </c>
      <c r="C23" s="28" t="s">
        <v>44</v>
      </c>
      <c r="D23" s="51">
        <v>1042299</v>
      </c>
      <c r="E23" s="44">
        <v>0</v>
      </c>
      <c r="F23" s="52" t="s">
        <v>385</v>
      </c>
      <c r="G23" s="46" t="s">
        <v>451</v>
      </c>
      <c r="H23" s="34"/>
      <c r="I23" s="32"/>
      <c r="K23" s="34">
        <v>1045744953</v>
      </c>
      <c r="L23" s="34" t="s">
        <v>220</v>
      </c>
      <c r="M23" s="65">
        <v>551430</v>
      </c>
      <c r="N23" s="65">
        <v>27571.5</v>
      </c>
    </row>
    <row r="24" spans="1:14" ht="15.75">
      <c r="A24" s="7"/>
      <c r="B24" s="28">
        <v>1098650016</v>
      </c>
      <c r="C24" s="28" t="s">
        <v>245</v>
      </c>
      <c r="D24" s="44">
        <v>1042299.1596638656</v>
      </c>
      <c r="E24" s="44">
        <f t="shared" si="0"/>
        <v>52114.957983193279</v>
      </c>
      <c r="F24" s="30" t="s">
        <v>16</v>
      </c>
      <c r="G24" s="46"/>
      <c r="H24" s="34"/>
      <c r="I24" s="32"/>
      <c r="K24" s="34">
        <v>1047463260</v>
      </c>
      <c r="L24" s="34" t="s">
        <v>221</v>
      </c>
      <c r="M24" s="65">
        <v>539400</v>
      </c>
      <c r="N24" s="65">
        <v>26970</v>
      </c>
    </row>
    <row r="25" spans="1:14">
      <c r="B25" s="28">
        <v>94412591</v>
      </c>
      <c r="C25" s="28" t="s">
        <v>167</v>
      </c>
      <c r="D25" s="44">
        <v>1042299.1596638656</v>
      </c>
      <c r="E25" s="44">
        <f t="shared" si="0"/>
        <v>52114.957983193279</v>
      </c>
      <c r="F25" s="58" t="s">
        <v>17</v>
      </c>
      <c r="G25" s="46"/>
      <c r="H25" s="56"/>
      <c r="I25" s="57"/>
      <c r="J25" s="56"/>
      <c r="K25" s="34">
        <v>1063292206</v>
      </c>
      <c r="L25" s="34" t="s">
        <v>230</v>
      </c>
      <c r="M25" s="65">
        <v>420365</v>
      </c>
      <c r="N25" s="65">
        <v>21018.25</v>
      </c>
    </row>
    <row r="26" spans="1:14" ht="15.75" thickBot="1">
      <c r="B26" s="28">
        <v>10025741</v>
      </c>
      <c r="C26" s="28" t="s">
        <v>51</v>
      </c>
      <c r="D26" s="44">
        <v>1090567</v>
      </c>
      <c r="E26" s="44">
        <f t="shared" si="0"/>
        <v>54528.35</v>
      </c>
      <c r="F26" s="59" t="s">
        <v>20</v>
      </c>
      <c r="G26" s="46"/>
      <c r="H26" s="56"/>
      <c r="I26" s="57"/>
      <c r="J26" s="56"/>
      <c r="K26" s="34">
        <v>1098650016</v>
      </c>
      <c r="L26" s="34" t="s">
        <v>245</v>
      </c>
      <c r="M26" s="65">
        <v>1042299.1596638656</v>
      </c>
      <c r="N26" s="65">
        <v>52114.957983193279</v>
      </c>
    </row>
    <row r="27" spans="1:14" s="34" customFormat="1" ht="15.75" thickBot="1">
      <c r="B27" s="28">
        <v>10025741</v>
      </c>
      <c r="C27" s="28" t="s">
        <v>51</v>
      </c>
      <c r="D27" s="44">
        <v>1120932</v>
      </c>
      <c r="E27" s="44">
        <f>+D27/14</f>
        <v>80066.571428571435</v>
      </c>
      <c r="F27" s="59" t="s">
        <v>438</v>
      </c>
      <c r="G27" s="46" t="s">
        <v>439</v>
      </c>
      <c r="H27" s="56"/>
      <c r="I27" s="57"/>
      <c r="J27" s="56"/>
      <c r="K27" s="34">
        <v>1098757060</v>
      </c>
      <c r="L27" s="34" t="s">
        <v>414</v>
      </c>
      <c r="M27" s="65">
        <v>473450</v>
      </c>
      <c r="N27" s="65">
        <v>23672.5</v>
      </c>
    </row>
    <row r="28" spans="1:14" s="1" customFormat="1">
      <c r="A28"/>
      <c r="B28" s="28">
        <v>1019041186</v>
      </c>
      <c r="C28" s="28" t="s">
        <v>210</v>
      </c>
      <c r="D28" s="29">
        <v>774230</v>
      </c>
      <c r="E28" s="44">
        <f t="shared" si="0"/>
        <v>38711.5</v>
      </c>
      <c r="F28" s="58" t="s">
        <v>18</v>
      </c>
      <c r="G28" s="46"/>
      <c r="H28" s="56"/>
      <c r="I28" s="57"/>
      <c r="J28" s="55"/>
      <c r="K28" s="34">
        <v>1101684849</v>
      </c>
      <c r="L28" s="34" t="s">
        <v>251</v>
      </c>
      <c r="M28" s="65">
        <v>518010</v>
      </c>
      <c r="N28" s="65">
        <v>25900.5</v>
      </c>
    </row>
    <row r="29" spans="1:14" s="1" customFormat="1">
      <c r="A29"/>
      <c r="B29" s="28">
        <v>94490967</v>
      </c>
      <c r="C29" s="28" t="s">
        <v>172</v>
      </c>
      <c r="D29" s="29">
        <v>1042299</v>
      </c>
      <c r="E29" s="44">
        <f t="shared" si="0"/>
        <v>52114.95</v>
      </c>
      <c r="F29" s="58" t="s">
        <v>21</v>
      </c>
      <c r="G29" s="46"/>
      <c r="H29" s="56"/>
      <c r="I29" s="57"/>
      <c r="J29" s="55"/>
      <c r="K29" s="34">
        <v>1105613195</v>
      </c>
      <c r="L29" s="34" t="s">
        <v>429</v>
      </c>
      <c r="M29" s="65">
        <v>380408</v>
      </c>
      <c r="N29" s="65">
        <v>47551</v>
      </c>
    </row>
    <row r="30" spans="1:14" s="1" customFormat="1">
      <c r="A30" s="34"/>
      <c r="B30" s="28">
        <v>1143840049</v>
      </c>
      <c r="C30" s="28" t="s">
        <v>310</v>
      </c>
      <c r="D30" s="29">
        <v>1399410</v>
      </c>
      <c r="E30" s="44">
        <f>+D30/18</f>
        <v>77745</v>
      </c>
      <c r="F30" s="58" t="s">
        <v>23</v>
      </c>
      <c r="G30" s="46"/>
      <c r="H30" s="56"/>
      <c r="I30" s="57"/>
      <c r="J30" s="55"/>
      <c r="K30" s="34">
        <v>1113039658</v>
      </c>
      <c r="L30" s="34" t="s">
        <v>425</v>
      </c>
      <c r="M30" s="65">
        <v>2532929</v>
      </c>
      <c r="N30" s="65">
        <v>143387.25163398692</v>
      </c>
    </row>
    <row r="31" spans="1:14" s="1" customFormat="1">
      <c r="A31"/>
      <c r="B31" s="28">
        <v>1143840049</v>
      </c>
      <c r="C31" s="28" t="s">
        <v>310</v>
      </c>
      <c r="D31" s="29">
        <v>1137500</v>
      </c>
      <c r="E31" s="44">
        <f>+D31/18</f>
        <v>63194.444444444445</v>
      </c>
      <c r="F31" s="58" t="s">
        <v>19</v>
      </c>
      <c r="G31" s="46"/>
      <c r="H31" s="56"/>
      <c r="I31" s="57"/>
      <c r="J31" s="55"/>
      <c r="K31" s="34">
        <v>1123265523</v>
      </c>
      <c r="L31" s="34" t="s">
        <v>443</v>
      </c>
      <c r="M31" s="65">
        <v>371273</v>
      </c>
      <c r="N31" s="65">
        <v>30939.416666666668</v>
      </c>
    </row>
    <row r="32" spans="1:14" s="1" customFormat="1">
      <c r="A32"/>
      <c r="B32" s="28">
        <v>67032011</v>
      </c>
      <c r="C32" s="28" t="s">
        <v>128</v>
      </c>
      <c r="D32" s="29">
        <v>1548690</v>
      </c>
      <c r="E32" s="44">
        <f t="shared" si="0"/>
        <v>77434.5</v>
      </c>
      <c r="F32" s="30" t="s">
        <v>419</v>
      </c>
      <c r="G32" s="46"/>
      <c r="H32" s="56"/>
      <c r="I32" s="57"/>
      <c r="J32" s="55"/>
      <c r="K32" s="34">
        <v>1143828516</v>
      </c>
      <c r="L32" s="34" t="s">
        <v>308</v>
      </c>
      <c r="M32" s="65">
        <v>1042299</v>
      </c>
      <c r="N32" s="65">
        <v>52114.95</v>
      </c>
    </row>
    <row r="33" spans="1:14" s="1" customFormat="1">
      <c r="A33" s="34"/>
      <c r="B33" s="28">
        <v>67032011</v>
      </c>
      <c r="C33" s="28" t="s">
        <v>128</v>
      </c>
      <c r="D33" s="29">
        <v>1585271</v>
      </c>
      <c r="E33" s="44">
        <f>+D33/14</f>
        <v>113233.64285714286</v>
      </c>
      <c r="F33" s="30" t="s">
        <v>440</v>
      </c>
      <c r="G33" s="46" t="s">
        <v>439</v>
      </c>
      <c r="H33" s="56"/>
      <c r="I33" s="57"/>
      <c r="J33" s="55"/>
      <c r="K33" s="34">
        <v>1143840049</v>
      </c>
      <c r="L33" s="34" t="s">
        <v>310</v>
      </c>
      <c r="M33" s="65">
        <v>2536910</v>
      </c>
      <c r="N33" s="65">
        <v>140939.44444444444</v>
      </c>
    </row>
    <row r="34" spans="1:14" s="1" customFormat="1">
      <c r="A34"/>
      <c r="B34" s="28">
        <v>38561178</v>
      </c>
      <c r="C34" s="28" t="s">
        <v>114</v>
      </c>
      <c r="D34" s="29">
        <v>2392534</v>
      </c>
      <c r="E34" s="44">
        <f t="shared" si="0"/>
        <v>119626.7</v>
      </c>
      <c r="F34" s="30" t="s">
        <v>420</v>
      </c>
      <c r="G34" s="46"/>
      <c r="H34" s="56"/>
      <c r="I34" s="57"/>
      <c r="J34" s="55"/>
      <c r="K34" s="34">
        <v>1144195582</v>
      </c>
      <c r="L34" s="34" t="s">
        <v>347</v>
      </c>
      <c r="M34" s="65">
        <v>880707</v>
      </c>
      <c r="N34" s="65">
        <v>44035.35</v>
      </c>
    </row>
    <row r="35" spans="1:14" s="1" customFormat="1">
      <c r="A35"/>
      <c r="B35" s="47">
        <v>1063292206</v>
      </c>
      <c r="C35" s="28" t="s">
        <v>230</v>
      </c>
      <c r="D35" s="44">
        <v>420365</v>
      </c>
      <c r="E35" s="44">
        <f t="shared" si="0"/>
        <v>21018.25</v>
      </c>
      <c r="F35" s="45" t="s">
        <v>421</v>
      </c>
      <c r="G35" s="53"/>
      <c r="H35" s="56"/>
      <c r="I35" s="57"/>
      <c r="J35" s="55"/>
      <c r="K35" s="34">
        <v>1144213479</v>
      </c>
      <c r="L35" s="34" t="s">
        <v>367</v>
      </c>
      <c r="M35" s="65">
        <v>432207</v>
      </c>
      <c r="N35" s="65">
        <v>21610.35</v>
      </c>
    </row>
    <row r="36" spans="1:14" s="34" customFormat="1">
      <c r="B36" s="28">
        <v>94362404</v>
      </c>
      <c r="C36" s="28" t="s">
        <v>160</v>
      </c>
      <c r="D36" s="60">
        <v>432207</v>
      </c>
      <c r="E36" s="44">
        <f>+D36/20</f>
        <v>21610.35</v>
      </c>
      <c r="F36" s="45" t="s">
        <v>424</v>
      </c>
      <c r="G36" s="53"/>
      <c r="H36" s="56"/>
      <c r="I36" s="57"/>
      <c r="J36" s="56"/>
      <c r="K36" s="34">
        <v>1193543777</v>
      </c>
      <c r="L36" s="34" t="s">
        <v>360</v>
      </c>
      <c r="M36" s="65">
        <v>1042299</v>
      </c>
      <c r="N36" s="65">
        <v>52114.95</v>
      </c>
    </row>
    <row r="37" spans="1:14" ht="13.5" customHeight="1">
      <c r="B37" s="28">
        <v>94362404</v>
      </c>
      <c r="C37" s="28" t="s">
        <v>160</v>
      </c>
      <c r="D37" s="60">
        <v>1042299</v>
      </c>
      <c r="E37" s="44">
        <f>645939/14</f>
        <v>46138.5</v>
      </c>
      <c r="F37" s="45" t="s">
        <v>441</v>
      </c>
      <c r="G37" s="53" t="s">
        <v>442</v>
      </c>
      <c r="H37" s="56"/>
      <c r="I37" s="57"/>
      <c r="J37" s="56"/>
      <c r="K37" s="34" t="s">
        <v>435</v>
      </c>
      <c r="M37" s="65">
        <v>35904360.159663871</v>
      </c>
      <c r="N37" s="65">
        <v>1942047.9928571431</v>
      </c>
    </row>
    <row r="38" spans="1:14" s="34" customFormat="1" ht="13.5" customHeight="1">
      <c r="B38" s="28">
        <v>1113039658</v>
      </c>
      <c r="C38" s="28" t="s">
        <v>425</v>
      </c>
      <c r="D38" s="60">
        <v>848117</v>
      </c>
      <c r="E38" s="44">
        <f>+D38/18</f>
        <v>47117.611111111109</v>
      </c>
      <c r="F38" s="45" t="s">
        <v>426</v>
      </c>
      <c r="G38" s="53"/>
      <c r="H38" s="56"/>
      <c r="I38" s="57"/>
      <c r="J38" s="56"/>
    </row>
    <row r="39" spans="1:14" s="34" customFormat="1" ht="13.5" customHeight="1">
      <c r="B39" s="28">
        <v>1113039658</v>
      </c>
      <c r="C39" s="28" t="s">
        <v>425</v>
      </c>
      <c r="D39" s="60">
        <v>868106</v>
      </c>
      <c r="E39" s="44">
        <f>+D39/18</f>
        <v>48228.111111111109</v>
      </c>
      <c r="F39" s="45" t="s">
        <v>427</v>
      </c>
      <c r="G39" s="53"/>
      <c r="H39" s="56"/>
      <c r="I39" s="57"/>
      <c r="J39" s="56"/>
    </row>
    <row r="40" spans="1:14" s="34" customFormat="1" ht="13.5" customHeight="1">
      <c r="B40" s="28">
        <v>94490967</v>
      </c>
      <c r="C40" s="28" t="s">
        <v>172</v>
      </c>
      <c r="D40" s="60">
        <v>922962</v>
      </c>
      <c r="E40" s="44">
        <f>+D40/18</f>
        <v>51275.666666666664</v>
      </c>
      <c r="F40" s="45" t="s">
        <v>428</v>
      </c>
      <c r="G40" s="53"/>
      <c r="H40" s="56"/>
      <c r="I40" s="57"/>
      <c r="J40" s="56"/>
    </row>
    <row r="41" spans="1:14" s="34" customFormat="1" ht="13.5" customHeight="1">
      <c r="B41" s="28">
        <v>1105613195</v>
      </c>
      <c r="C41" s="28" t="s">
        <v>429</v>
      </c>
      <c r="D41" s="60">
        <v>380408</v>
      </c>
      <c r="E41" s="44">
        <f>+D41/8</f>
        <v>47551</v>
      </c>
      <c r="F41" s="45" t="s">
        <v>430</v>
      </c>
      <c r="G41" s="53"/>
      <c r="H41" s="56"/>
      <c r="I41" s="57"/>
      <c r="J41" s="56"/>
    </row>
    <row r="42" spans="1:14" s="34" customFormat="1" ht="13.5" customHeight="1">
      <c r="B42" s="47">
        <v>16765038</v>
      </c>
      <c r="C42" s="28" t="s">
        <v>86</v>
      </c>
      <c r="D42" s="61">
        <v>454273</v>
      </c>
      <c r="E42" s="54">
        <f>+D42/17</f>
        <v>26721.941176470587</v>
      </c>
      <c r="F42" s="62" t="s">
        <v>431</v>
      </c>
      <c r="G42" s="63"/>
      <c r="H42" s="56"/>
      <c r="I42" s="57"/>
      <c r="J42" s="56"/>
    </row>
    <row r="43" spans="1:14" s="34" customFormat="1" ht="13.5" customHeight="1">
      <c r="B43" s="28">
        <v>1113039658</v>
      </c>
      <c r="C43" s="28" t="s">
        <v>425</v>
      </c>
      <c r="D43" s="60">
        <v>816706</v>
      </c>
      <c r="E43" s="44">
        <f>+D43/17</f>
        <v>48041.529411764706</v>
      </c>
      <c r="F43" s="45" t="s">
        <v>432</v>
      </c>
      <c r="G43" s="53"/>
      <c r="H43" s="56"/>
      <c r="I43" s="57"/>
      <c r="J43" s="56"/>
    </row>
    <row r="44" spans="1:14" s="34" customFormat="1" ht="13.5" customHeight="1">
      <c r="B44" s="30">
        <v>1006166197</v>
      </c>
      <c r="C44" s="30" t="s">
        <v>433</v>
      </c>
      <c r="D44" s="60">
        <v>346456</v>
      </c>
      <c r="E44" s="29">
        <f>+D44/16</f>
        <v>21653.5</v>
      </c>
      <c r="F44" s="45" t="s">
        <v>434</v>
      </c>
      <c r="G44" s="53"/>
      <c r="H44" s="56"/>
      <c r="I44" s="57"/>
      <c r="J44" s="56"/>
    </row>
    <row r="45" spans="1:14" s="34" customFormat="1" ht="13.5" customHeight="1">
      <c r="B45" s="30">
        <v>1123265523</v>
      </c>
      <c r="C45" s="30" t="s">
        <v>443</v>
      </c>
      <c r="D45" s="60">
        <v>371273</v>
      </c>
      <c r="E45" s="29">
        <f>+D45/12</f>
        <v>30939.416666666668</v>
      </c>
      <c r="F45" s="45" t="s">
        <v>444</v>
      </c>
      <c r="G45" s="53" t="s">
        <v>450</v>
      </c>
      <c r="H45" s="56"/>
      <c r="I45" s="57"/>
      <c r="J45" s="56"/>
    </row>
    <row r="46" spans="1:14" s="34" customFormat="1" ht="13.5" customHeight="1">
      <c r="B46" s="30">
        <v>1017176446</v>
      </c>
      <c r="C46" s="30" t="s">
        <v>445</v>
      </c>
      <c r="D46" s="60">
        <v>288261</v>
      </c>
      <c r="E46" s="29">
        <f>+D46/12</f>
        <v>24021.75</v>
      </c>
      <c r="F46" s="45" t="s">
        <v>446</v>
      </c>
      <c r="G46" s="53"/>
      <c r="H46" s="56"/>
      <c r="I46" s="57"/>
      <c r="J46" s="56"/>
    </row>
    <row r="47" spans="1:14" s="34" customFormat="1" ht="13.5" customHeight="1">
      <c r="B47" s="30"/>
      <c r="C47" s="30"/>
      <c r="D47" s="60"/>
      <c r="E47" s="29"/>
      <c r="F47" s="45"/>
      <c r="G47" s="53"/>
      <c r="H47" s="56"/>
      <c r="I47" s="57"/>
      <c r="J47" s="56"/>
    </row>
    <row r="48" spans="1:14" s="1" customFormat="1" ht="15.75">
      <c r="A48" s="7"/>
      <c r="B48" s="7"/>
      <c r="C48" s="7"/>
      <c r="D48" s="10">
        <f>SUM(D6:D46)</f>
        <v>35904360.159663863</v>
      </c>
      <c r="E48" s="33">
        <f>SUM(E6:E46)</f>
        <v>1816207.7428571431</v>
      </c>
      <c r="G48"/>
      <c r="H48" s="56"/>
      <c r="I48" s="56"/>
      <c r="J48" s="55"/>
    </row>
    <row r="50" spans="5:5">
      <c r="E50" s="32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</sheetData>
  <autoFilter ref="A5:H48" xr:uid="{1C5CACB7-BF97-43C8-82E0-348FAA601F9A}">
    <sortState xmlns:xlrd2="http://schemas.microsoft.com/office/spreadsheetml/2017/richdata2" ref="A19:H37">
      <sortCondition ref="C5:C37"/>
    </sortState>
  </autoFilter>
  <mergeCells count="2">
    <mergeCell ref="B2:E2"/>
    <mergeCell ref="B3:E3"/>
  </mergeCells>
  <conditionalFormatting sqref="F19:F20">
    <cfRule type="duplicateValues" dxfId="18" priority="22"/>
  </conditionalFormatting>
  <conditionalFormatting sqref="F35">
    <cfRule type="duplicateValues" dxfId="17" priority="14"/>
  </conditionalFormatting>
  <conditionalFormatting sqref="F36">
    <cfRule type="duplicateValues" dxfId="16" priority="12"/>
  </conditionalFormatting>
  <conditionalFormatting sqref="F37">
    <cfRule type="duplicateValues" dxfId="15" priority="11"/>
  </conditionalFormatting>
  <conditionalFormatting sqref="B82:B1048576 K23:K35 B48:B50 K5 B1:B26 B28:B32 B34:B37">
    <cfRule type="duplicateValues" dxfId="14" priority="10"/>
  </conditionalFormatting>
  <conditionalFormatting sqref="F38:F42">
    <cfRule type="duplicateValues" dxfId="13" priority="9"/>
  </conditionalFormatting>
  <conditionalFormatting sqref="B38:B41">
    <cfRule type="duplicateValues" dxfId="12" priority="8"/>
  </conditionalFormatting>
  <conditionalFormatting sqref="B42">
    <cfRule type="duplicateValues" dxfId="11" priority="7"/>
  </conditionalFormatting>
  <conditionalFormatting sqref="F43:F44">
    <cfRule type="duplicateValues" dxfId="10" priority="6"/>
  </conditionalFormatting>
  <conditionalFormatting sqref="B43:B44">
    <cfRule type="duplicateValues" dxfId="9" priority="5"/>
  </conditionalFormatting>
  <conditionalFormatting sqref="F6:F18">
    <cfRule type="duplicateValues" dxfId="8" priority="27"/>
  </conditionalFormatting>
  <conditionalFormatting sqref="B27">
    <cfRule type="duplicateValues" dxfId="7" priority="4"/>
  </conditionalFormatting>
  <conditionalFormatting sqref="B33">
    <cfRule type="duplicateValues" dxfId="6" priority="3"/>
  </conditionalFormatting>
  <conditionalFormatting sqref="F45:F47">
    <cfRule type="duplicateValues" dxfId="5" priority="2"/>
  </conditionalFormatting>
  <conditionalFormatting sqref="B45:B47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scale="48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43CF-61B2-4A80-B450-7DDEAE4719AE}">
  <dimension ref="A1:E211"/>
  <sheetViews>
    <sheetView workbookViewId="0">
      <selection activeCell="C17" sqref="C17"/>
    </sheetView>
  </sheetViews>
  <sheetFormatPr baseColWidth="10" defaultRowHeight="15"/>
  <cols>
    <col min="1" max="1" width="18.7109375" customWidth="1"/>
    <col min="2" max="2" width="44.28515625" bestFit="1" customWidth="1"/>
    <col min="3" max="3" width="50.5703125" bestFit="1" customWidth="1"/>
  </cols>
  <sheetData>
    <row r="1" spans="1:5" ht="15.75" thickBot="1">
      <c r="A1" s="11" t="s">
        <v>5</v>
      </c>
      <c r="B1" s="12" t="s">
        <v>26</v>
      </c>
      <c r="C1" s="12" t="s">
        <v>27</v>
      </c>
      <c r="D1" s="12" t="s">
        <v>28</v>
      </c>
      <c r="E1" s="12" t="s">
        <v>29</v>
      </c>
    </row>
    <row r="2" spans="1:5" ht="15.75" thickTop="1">
      <c r="A2" s="13">
        <v>3250863</v>
      </c>
      <c r="B2" s="14" t="s">
        <v>30</v>
      </c>
      <c r="C2" s="15" t="s">
        <v>31</v>
      </c>
      <c r="D2" s="16" t="s">
        <v>32</v>
      </c>
      <c r="E2" s="16" t="s">
        <v>33</v>
      </c>
    </row>
    <row r="3" spans="1:5">
      <c r="A3" s="17">
        <v>4675768</v>
      </c>
      <c r="B3" s="18" t="s">
        <v>34</v>
      </c>
      <c r="C3" s="19" t="s">
        <v>35</v>
      </c>
      <c r="D3" s="20" t="s">
        <v>32</v>
      </c>
      <c r="E3" s="20" t="s">
        <v>33</v>
      </c>
    </row>
    <row r="4" spans="1:5">
      <c r="A4" s="21">
        <v>5975881</v>
      </c>
      <c r="B4" s="14" t="s">
        <v>36</v>
      </c>
      <c r="C4" s="15" t="s">
        <v>37</v>
      </c>
      <c r="D4" s="22" t="s">
        <v>32</v>
      </c>
      <c r="E4" s="16" t="s">
        <v>33</v>
      </c>
    </row>
    <row r="5" spans="1:5">
      <c r="A5" s="17">
        <v>6102052</v>
      </c>
      <c r="B5" s="18" t="s">
        <v>38</v>
      </c>
      <c r="C5" s="19" t="s">
        <v>39</v>
      </c>
      <c r="D5" s="23" t="s">
        <v>32</v>
      </c>
      <c r="E5" s="20" t="s">
        <v>33</v>
      </c>
    </row>
    <row r="6" spans="1:5">
      <c r="A6" s="21">
        <v>6429827</v>
      </c>
      <c r="B6" s="14" t="s">
        <v>40</v>
      </c>
      <c r="C6" s="15" t="s">
        <v>41</v>
      </c>
      <c r="D6" s="22" t="s">
        <v>32</v>
      </c>
      <c r="E6" s="16" t="s">
        <v>33</v>
      </c>
    </row>
    <row r="7" spans="1:5">
      <c r="A7" s="17">
        <v>7167209</v>
      </c>
      <c r="B7" s="18" t="s">
        <v>42</v>
      </c>
      <c r="C7" s="19" t="s">
        <v>43</v>
      </c>
      <c r="D7" s="23" t="s">
        <v>32</v>
      </c>
      <c r="E7" s="20" t="s">
        <v>33</v>
      </c>
    </row>
    <row r="8" spans="1:5">
      <c r="A8" s="21">
        <v>8028607</v>
      </c>
      <c r="B8" s="14" t="s">
        <v>44</v>
      </c>
      <c r="C8" s="15" t="s">
        <v>43</v>
      </c>
      <c r="D8" s="16" t="s">
        <v>32</v>
      </c>
      <c r="E8" s="16" t="s">
        <v>33</v>
      </c>
    </row>
    <row r="9" spans="1:5">
      <c r="A9" s="17">
        <v>8435781</v>
      </c>
      <c r="B9" s="18" t="s">
        <v>45</v>
      </c>
      <c r="C9" s="19" t="s">
        <v>46</v>
      </c>
      <c r="D9" s="23" t="s">
        <v>32</v>
      </c>
      <c r="E9" s="20" t="s">
        <v>33</v>
      </c>
    </row>
    <row r="10" spans="1:5">
      <c r="A10" s="21">
        <v>8852114</v>
      </c>
      <c r="B10" s="14" t="s">
        <v>47</v>
      </c>
      <c r="C10" s="15" t="s">
        <v>48</v>
      </c>
      <c r="D10" s="22" t="s">
        <v>32</v>
      </c>
      <c r="E10" s="16" t="s">
        <v>33</v>
      </c>
    </row>
    <row r="11" spans="1:5">
      <c r="A11" s="17">
        <v>9291739</v>
      </c>
      <c r="B11" s="18" t="s">
        <v>49</v>
      </c>
      <c r="C11" s="19" t="s">
        <v>50</v>
      </c>
      <c r="D11" s="23" t="s">
        <v>32</v>
      </c>
      <c r="E11" s="20" t="s">
        <v>33</v>
      </c>
    </row>
    <row r="12" spans="1:5">
      <c r="A12" s="21">
        <v>10025741</v>
      </c>
      <c r="B12" s="14" t="s">
        <v>51</v>
      </c>
      <c r="C12" s="15" t="s">
        <v>52</v>
      </c>
      <c r="D12" s="22" t="s">
        <v>32</v>
      </c>
      <c r="E12" s="16" t="s">
        <v>33</v>
      </c>
    </row>
    <row r="13" spans="1:5">
      <c r="A13" s="17">
        <v>14622524</v>
      </c>
      <c r="B13" s="18" t="s">
        <v>53</v>
      </c>
      <c r="C13" s="19" t="s">
        <v>54</v>
      </c>
      <c r="D13" s="23" t="s">
        <v>32</v>
      </c>
      <c r="E13" s="20" t="s">
        <v>33</v>
      </c>
    </row>
    <row r="14" spans="1:5">
      <c r="A14" s="21">
        <v>14637404</v>
      </c>
      <c r="B14" s="14" t="s">
        <v>55</v>
      </c>
      <c r="C14" s="15" t="s">
        <v>50</v>
      </c>
      <c r="D14" s="22" t="s">
        <v>32</v>
      </c>
      <c r="E14" s="16" t="s">
        <v>33</v>
      </c>
    </row>
    <row r="15" spans="1:5">
      <c r="A15" s="17">
        <v>14696154</v>
      </c>
      <c r="B15" s="18" t="s">
        <v>56</v>
      </c>
      <c r="C15" s="19" t="s">
        <v>57</v>
      </c>
      <c r="D15" s="23" t="s">
        <v>32</v>
      </c>
      <c r="E15" s="20" t="s">
        <v>33</v>
      </c>
    </row>
    <row r="16" spans="1:5">
      <c r="A16" s="21">
        <v>14798037</v>
      </c>
      <c r="B16" s="14" t="s">
        <v>58</v>
      </c>
      <c r="C16" s="15" t="s">
        <v>59</v>
      </c>
      <c r="D16" s="22" t="s">
        <v>32</v>
      </c>
      <c r="E16" s="16" t="s">
        <v>33</v>
      </c>
    </row>
    <row r="17" spans="1:5">
      <c r="A17" s="17">
        <v>14836440</v>
      </c>
      <c r="B17" s="18" t="s">
        <v>60</v>
      </c>
      <c r="C17" s="19" t="s">
        <v>61</v>
      </c>
      <c r="D17" s="23" t="s">
        <v>32</v>
      </c>
      <c r="E17" s="20" t="s">
        <v>33</v>
      </c>
    </row>
    <row r="18" spans="1:5">
      <c r="A18" s="21">
        <v>14965953</v>
      </c>
      <c r="B18" s="14" t="s">
        <v>62</v>
      </c>
      <c r="C18" s="15" t="s">
        <v>63</v>
      </c>
      <c r="D18" s="22" t="s">
        <v>32</v>
      </c>
      <c r="E18" s="16" t="s">
        <v>33</v>
      </c>
    </row>
    <row r="19" spans="1:5">
      <c r="A19" s="17">
        <v>16161777</v>
      </c>
      <c r="B19" s="18" t="s">
        <v>64</v>
      </c>
      <c r="C19" s="19" t="s">
        <v>65</v>
      </c>
      <c r="D19" s="23" t="s">
        <v>32</v>
      </c>
      <c r="E19" s="20" t="s">
        <v>33</v>
      </c>
    </row>
    <row r="20" spans="1:5">
      <c r="A20" s="21">
        <v>16162075</v>
      </c>
      <c r="B20" s="14" t="s">
        <v>66</v>
      </c>
      <c r="C20" s="15" t="s">
        <v>35</v>
      </c>
      <c r="D20" s="22" t="s">
        <v>32</v>
      </c>
      <c r="E20" s="16" t="s">
        <v>33</v>
      </c>
    </row>
    <row r="21" spans="1:5">
      <c r="A21" s="17">
        <v>16162076</v>
      </c>
      <c r="B21" s="18" t="s">
        <v>67</v>
      </c>
      <c r="C21" s="19" t="s">
        <v>35</v>
      </c>
      <c r="D21" s="23" t="s">
        <v>32</v>
      </c>
      <c r="E21" s="20" t="s">
        <v>33</v>
      </c>
    </row>
    <row r="22" spans="1:5">
      <c r="A22" s="21">
        <v>16287985</v>
      </c>
      <c r="B22" s="14" t="s">
        <v>68</v>
      </c>
      <c r="C22" s="15" t="s">
        <v>69</v>
      </c>
      <c r="D22" s="22" t="s">
        <v>32</v>
      </c>
      <c r="E22" s="16" t="s">
        <v>33</v>
      </c>
    </row>
    <row r="23" spans="1:5">
      <c r="A23" s="17">
        <v>16505671</v>
      </c>
      <c r="B23" s="18" t="s">
        <v>70</v>
      </c>
      <c r="C23" s="19" t="s">
        <v>71</v>
      </c>
      <c r="D23" s="23" t="s">
        <v>32</v>
      </c>
      <c r="E23" s="20" t="s">
        <v>33</v>
      </c>
    </row>
    <row r="24" spans="1:5">
      <c r="A24" s="21">
        <v>16509974</v>
      </c>
      <c r="B24" s="14" t="s">
        <v>72</v>
      </c>
      <c r="C24" s="15" t="s">
        <v>35</v>
      </c>
      <c r="D24" s="22" t="s">
        <v>32</v>
      </c>
      <c r="E24" s="16" t="s">
        <v>33</v>
      </c>
    </row>
    <row r="25" spans="1:5">
      <c r="A25" s="24">
        <v>16615987</v>
      </c>
      <c r="B25" s="18" t="s">
        <v>73</v>
      </c>
      <c r="C25" s="19" t="s">
        <v>74</v>
      </c>
      <c r="D25" s="20" t="s">
        <v>32</v>
      </c>
      <c r="E25" s="20" t="s">
        <v>33</v>
      </c>
    </row>
    <row r="26" spans="1:5">
      <c r="A26" s="21">
        <v>16629359</v>
      </c>
      <c r="B26" s="14" t="s">
        <v>75</v>
      </c>
      <c r="C26" s="15" t="s">
        <v>76</v>
      </c>
      <c r="D26" s="22" t="s">
        <v>32</v>
      </c>
      <c r="E26" s="16" t="s">
        <v>33</v>
      </c>
    </row>
    <row r="27" spans="1:5">
      <c r="A27" s="17">
        <v>16673975</v>
      </c>
      <c r="B27" s="18" t="s">
        <v>77</v>
      </c>
      <c r="C27" s="19" t="s">
        <v>78</v>
      </c>
      <c r="D27" s="23" t="s">
        <v>32</v>
      </c>
      <c r="E27" s="20" t="s">
        <v>33</v>
      </c>
    </row>
    <row r="28" spans="1:5">
      <c r="A28" s="21">
        <v>16696257</v>
      </c>
      <c r="B28" s="14" t="s">
        <v>79</v>
      </c>
      <c r="C28" s="15" t="s">
        <v>80</v>
      </c>
      <c r="D28" s="22" t="s">
        <v>32</v>
      </c>
      <c r="E28" s="16" t="s">
        <v>33</v>
      </c>
    </row>
    <row r="29" spans="1:5">
      <c r="A29" s="17">
        <v>16701083</v>
      </c>
      <c r="B29" s="18" t="s">
        <v>81</v>
      </c>
      <c r="C29" s="19" t="s">
        <v>50</v>
      </c>
      <c r="D29" s="23" t="s">
        <v>32</v>
      </c>
      <c r="E29" s="20" t="s">
        <v>33</v>
      </c>
    </row>
    <row r="30" spans="1:5">
      <c r="A30" s="21">
        <v>16716425</v>
      </c>
      <c r="B30" s="14" t="s">
        <v>82</v>
      </c>
      <c r="C30" s="15" t="s">
        <v>35</v>
      </c>
      <c r="D30" s="22" t="s">
        <v>32</v>
      </c>
      <c r="E30" s="16" t="s">
        <v>33</v>
      </c>
    </row>
    <row r="31" spans="1:5">
      <c r="A31" s="17">
        <v>16724135</v>
      </c>
      <c r="B31" s="18" t="s">
        <v>83</v>
      </c>
      <c r="C31" s="19" t="s">
        <v>71</v>
      </c>
      <c r="D31" s="23" t="s">
        <v>32</v>
      </c>
      <c r="E31" s="20" t="s">
        <v>33</v>
      </c>
    </row>
    <row r="32" spans="1:5">
      <c r="A32" s="21">
        <v>16726060</v>
      </c>
      <c r="B32" s="14" t="s">
        <v>84</v>
      </c>
      <c r="C32" s="15" t="s">
        <v>85</v>
      </c>
      <c r="D32" s="22" t="s">
        <v>32</v>
      </c>
      <c r="E32" s="16" t="s">
        <v>33</v>
      </c>
    </row>
    <row r="33" spans="1:5">
      <c r="A33" s="17">
        <v>16765038</v>
      </c>
      <c r="B33" s="18" t="s">
        <v>86</v>
      </c>
      <c r="C33" s="19" t="s">
        <v>50</v>
      </c>
      <c r="D33" s="23" t="s">
        <v>32</v>
      </c>
      <c r="E33" s="20" t="s">
        <v>33</v>
      </c>
    </row>
    <row r="34" spans="1:5">
      <c r="A34" s="21">
        <v>16767367</v>
      </c>
      <c r="B34" s="14" t="s">
        <v>87</v>
      </c>
      <c r="C34" s="15" t="s">
        <v>88</v>
      </c>
      <c r="D34" s="22" t="s">
        <v>32</v>
      </c>
      <c r="E34" s="16" t="s">
        <v>33</v>
      </c>
    </row>
    <row r="35" spans="1:5">
      <c r="A35" s="17">
        <v>16783959</v>
      </c>
      <c r="B35" s="18" t="s">
        <v>89</v>
      </c>
      <c r="C35" s="19" t="s">
        <v>90</v>
      </c>
      <c r="D35" s="23" t="s">
        <v>32</v>
      </c>
      <c r="E35" s="20" t="s">
        <v>33</v>
      </c>
    </row>
    <row r="36" spans="1:5">
      <c r="A36" s="21">
        <v>16794276</v>
      </c>
      <c r="B36" s="14" t="s">
        <v>91</v>
      </c>
      <c r="C36" s="15" t="s">
        <v>92</v>
      </c>
      <c r="D36" s="22" t="s">
        <v>32</v>
      </c>
      <c r="E36" s="16" t="s">
        <v>33</v>
      </c>
    </row>
    <row r="37" spans="1:5">
      <c r="A37" s="17">
        <v>16887597</v>
      </c>
      <c r="B37" s="18" t="s">
        <v>93</v>
      </c>
      <c r="C37" s="19" t="s">
        <v>94</v>
      </c>
      <c r="D37" s="23" t="s">
        <v>32</v>
      </c>
      <c r="E37" s="20" t="s">
        <v>33</v>
      </c>
    </row>
    <row r="38" spans="1:5">
      <c r="A38" s="21">
        <v>16917060</v>
      </c>
      <c r="B38" s="14" t="s">
        <v>95</v>
      </c>
      <c r="C38" s="15" t="s">
        <v>96</v>
      </c>
      <c r="D38" s="22" t="s">
        <v>32</v>
      </c>
      <c r="E38" s="16" t="s">
        <v>33</v>
      </c>
    </row>
    <row r="39" spans="1:5">
      <c r="A39" s="17">
        <v>16939674</v>
      </c>
      <c r="B39" s="18" t="s">
        <v>97</v>
      </c>
      <c r="C39" s="19" t="s">
        <v>41</v>
      </c>
      <c r="D39" s="23" t="s">
        <v>32</v>
      </c>
      <c r="E39" s="20" t="s">
        <v>33</v>
      </c>
    </row>
    <row r="40" spans="1:5">
      <c r="A40" s="21">
        <v>18398806</v>
      </c>
      <c r="B40" s="14" t="s">
        <v>98</v>
      </c>
      <c r="C40" s="15" t="s">
        <v>99</v>
      </c>
      <c r="D40" s="22" t="s">
        <v>32</v>
      </c>
      <c r="E40" s="16" t="s">
        <v>33</v>
      </c>
    </row>
    <row r="41" spans="1:5">
      <c r="A41" s="17">
        <v>29179633</v>
      </c>
      <c r="B41" s="18" t="s">
        <v>100</v>
      </c>
      <c r="C41" s="19" t="s">
        <v>101</v>
      </c>
      <c r="D41" s="23" t="s">
        <v>32</v>
      </c>
      <c r="E41" s="20" t="s">
        <v>33</v>
      </c>
    </row>
    <row r="42" spans="1:5">
      <c r="A42" s="21">
        <v>31231202</v>
      </c>
      <c r="B42" s="14" t="s">
        <v>102</v>
      </c>
      <c r="C42" s="15" t="s">
        <v>103</v>
      </c>
      <c r="D42" s="22" t="s">
        <v>32</v>
      </c>
      <c r="E42" s="16" t="s">
        <v>33</v>
      </c>
    </row>
    <row r="43" spans="1:5">
      <c r="A43" s="17">
        <v>31324019</v>
      </c>
      <c r="B43" s="18" t="s">
        <v>104</v>
      </c>
      <c r="C43" s="19" t="s">
        <v>105</v>
      </c>
      <c r="D43" s="23" t="s">
        <v>32</v>
      </c>
      <c r="E43" s="20" t="s">
        <v>33</v>
      </c>
    </row>
    <row r="44" spans="1:5">
      <c r="A44" s="21">
        <v>31477118</v>
      </c>
      <c r="B44" s="14" t="s">
        <v>106</v>
      </c>
      <c r="C44" s="15" t="s">
        <v>107</v>
      </c>
      <c r="D44" s="22" t="s">
        <v>32</v>
      </c>
      <c r="E44" s="16" t="s">
        <v>33</v>
      </c>
    </row>
    <row r="45" spans="1:5">
      <c r="A45" s="17">
        <v>31977462</v>
      </c>
      <c r="B45" s="18" t="s">
        <v>108</v>
      </c>
      <c r="C45" s="19" t="s">
        <v>109</v>
      </c>
      <c r="D45" s="23" t="s">
        <v>32</v>
      </c>
      <c r="E45" s="20" t="s">
        <v>33</v>
      </c>
    </row>
    <row r="46" spans="1:5">
      <c r="A46" s="21">
        <v>34611220</v>
      </c>
      <c r="B46" s="14" t="s">
        <v>110</v>
      </c>
      <c r="C46" s="15" t="s">
        <v>111</v>
      </c>
      <c r="D46" s="22" t="s">
        <v>32</v>
      </c>
      <c r="E46" s="16" t="s">
        <v>33</v>
      </c>
    </row>
    <row r="47" spans="1:5">
      <c r="A47" s="17">
        <v>38559121</v>
      </c>
      <c r="B47" s="18" t="s">
        <v>112</v>
      </c>
      <c r="C47" s="19" t="s">
        <v>113</v>
      </c>
      <c r="D47" s="23" t="s">
        <v>32</v>
      </c>
      <c r="E47" s="20" t="s">
        <v>33</v>
      </c>
    </row>
    <row r="48" spans="1:5">
      <c r="A48" s="21">
        <v>38561178</v>
      </c>
      <c r="B48" s="14" t="s">
        <v>114</v>
      </c>
      <c r="C48" s="15" t="s">
        <v>115</v>
      </c>
      <c r="D48" s="22" t="s">
        <v>32</v>
      </c>
      <c r="E48" s="16" t="s">
        <v>33</v>
      </c>
    </row>
    <row r="49" spans="1:5">
      <c r="A49" s="17">
        <v>44190452</v>
      </c>
      <c r="B49" s="18" t="s">
        <v>116</v>
      </c>
      <c r="C49" s="19" t="s">
        <v>117</v>
      </c>
      <c r="D49" s="23" t="s">
        <v>32</v>
      </c>
      <c r="E49" s="20" t="s">
        <v>33</v>
      </c>
    </row>
    <row r="50" spans="1:5">
      <c r="A50" s="13">
        <v>63508501</v>
      </c>
      <c r="B50" s="14" t="s">
        <v>118</v>
      </c>
      <c r="C50" s="15" t="s">
        <v>119</v>
      </c>
      <c r="D50" s="22" t="s">
        <v>32</v>
      </c>
      <c r="E50" s="16" t="s">
        <v>33</v>
      </c>
    </row>
    <row r="51" spans="1:5">
      <c r="A51" s="17">
        <v>66903320</v>
      </c>
      <c r="B51" s="18" t="s">
        <v>120</v>
      </c>
      <c r="C51" s="19" t="s">
        <v>121</v>
      </c>
      <c r="D51" s="23" t="s">
        <v>32</v>
      </c>
      <c r="E51" s="20" t="s">
        <v>33</v>
      </c>
    </row>
    <row r="52" spans="1:5">
      <c r="A52" s="21">
        <v>66978962</v>
      </c>
      <c r="B52" s="14" t="s">
        <v>122</v>
      </c>
      <c r="C52" s="15" t="s">
        <v>123</v>
      </c>
      <c r="D52" s="22" t="s">
        <v>32</v>
      </c>
      <c r="E52" s="16" t="s">
        <v>33</v>
      </c>
    </row>
    <row r="53" spans="1:5">
      <c r="A53" s="17">
        <v>67014695</v>
      </c>
      <c r="B53" s="18" t="s">
        <v>124</v>
      </c>
      <c r="C53" s="19" t="s">
        <v>125</v>
      </c>
      <c r="D53" s="23" t="s">
        <v>32</v>
      </c>
      <c r="E53" s="20" t="s">
        <v>33</v>
      </c>
    </row>
    <row r="54" spans="1:5">
      <c r="A54" s="21">
        <v>67015330</v>
      </c>
      <c r="B54" s="14" t="s">
        <v>126</v>
      </c>
      <c r="C54" s="15" t="s">
        <v>127</v>
      </c>
      <c r="D54" s="22" t="s">
        <v>32</v>
      </c>
      <c r="E54" s="16" t="s">
        <v>33</v>
      </c>
    </row>
    <row r="55" spans="1:5">
      <c r="A55" s="17">
        <v>67032011</v>
      </c>
      <c r="B55" s="18" t="s">
        <v>128</v>
      </c>
      <c r="C55" s="19" t="s">
        <v>129</v>
      </c>
      <c r="D55" s="23" t="s">
        <v>32</v>
      </c>
      <c r="E55" s="20" t="s">
        <v>33</v>
      </c>
    </row>
    <row r="56" spans="1:5">
      <c r="A56" s="21">
        <v>69022108</v>
      </c>
      <c r="B56" s="14" t="s">
        <v>130</v>
      </c>
      <c r="C56" s="15" t="s">
        <v>131</v>
      </c>
      <c r="D56" s="22" t="s">
        <v>32</v>
      </c>
      <c r="E56" s="16" t="s">
        <v>33</v>
      </c>
    </row>
    <row r="57" spans="1:5">
      <c r="A57" s="17">
        <v>71270173</v>
      </c>
      <c r="B57" s="18" t="s">
        <v>132</v>
      </c>
      <c r="C57" s="19" t="s">
        <v>133</v>
      </c>
      <c r="D57" s="23" t="s">
        <v>32</v>
      </c>
      <c r="E57" s="20" t="s">
        <v>33</v>
      </c>
    </row>
    <row r="58" spans="1:5">
      <c r="A58" s="21">
        <v>71759748</v>
      </c>
      <c r="B58" s="14" t="s">
        <v>134</v>
      </c>
      <c r="C58" s="15" t="s">
        <v>135</v>
      </c>
      <c r="D58" s="22" t="s">
        <v>32</v>
      </c>
      <c r="E58" s="16" t="s">
        <v>33</v>
      </c>
    </row>
    <row r="59" spans="1:5">
      <c r="A59" s="17">
        <v>72268019</v>
      </c>
      <c r="B59" s="18" t="s">
        <v>136</v>
      </c>
      <c r="C59" s="19" t="s">
        <v>50</v>
      </c>
      <c r="D59" s="23" t="s">
        <v>32</v>
      </c>
      <c r="E59" s="20" t="s">
        <v>33</v>
      </c>
    </row>
    <row r="60" spans="1:5">
      <c r="A60" s="21">
        <v>72270727</v>
      </c>
      <c r="B60" s="14" t="s">
        <v>137</v>
      </c>
      <c r="C60" s="15" t="s">
        <v>50</v>
      </c>
      <c r="D60" s="22" t="s">
        <v>32</v>
      </c>
      <c r="E60" s="16" t="s">
        <v>33</v>
      </c>
    </row>
    <row r="61" spans="1:5">
      <c r="A61" s="17">
        <v>72314712</v>
      </c>
      <c r="B61" s="18" t="s">
        <v>138</v>
      </c>
      <c r="C61" s="19" t="s">
        <v>139</v>
      </c>
      <c r="D61" s="23" t="s">
        <v>32</v>
      </c>
      <c r="E61" s="20" t="s">
        <v>33</v>
      </c>
    </row>
    <row r="62" spans="1:5">
      <c r="A62" s="21">
        <v>73006727</v>
      </c>
      <c r="B62" s="14" t="s">
        <v>140</v>
      </c>
      <c r="C62" s="15" t="s">
        <v>50</v>
      </c>
      <c r="D62" s="16" t="s">
        <v>32</v>
      </c>
      <c r="E62" s="16" t="s">
        <v>33</v>
      </c>
    </row>
    <row r="63" spans="1:5">
      <c r="A63" s="17">
        <v>73100479</v>
      </c>
      <c r="B63" s="18" t="s">
        <v>141</v>
      </c>
      <c r="C63" s="19" t="s">
        <v>142</v>
      </c>
      <c r="D63" s="23" t="s">
        <v>32</v>
      </c>
      <c r="E63" s="20" t="s">
        <v>33</v>
      </c>
    </row>
    <row r="64" spans="1:5">
      <c r="A64" s="21">
        <v>75004485</v>
      </c>
      <c r="B64" s="14" t="s">
        <v>143</v>
      </c>
      <c r="C64" s="15" t="s">
        <v>144</v>
      </c>
      <c r="D64" s="22" t="s">
        <v>32</v>
      </c>
      <c r="E64" s="16" t="s">
        <v>33</v>
      </c>
    </row>
    <row r="65" spans="1:5">
      <c r="A65" s="17">
        <v>79759774</v>
      </c>
      <c r="B65" s="18" t="s">
        <v>145</v>
      </c>
      <c r="C65" s="19" t="s">
        <v>43</v>
      </c>
      <c r="D65" s="23" t="s">
        <v>32</v>
      </c>
      <c r="E65" s="20" t="s">
        <v>33</v>
      </c>
    </row>
    <row r="66" spans="1:5">
      <c r="A66" s="21">
        <v>79999012</v>
      </c>
      <c r="B66" s="14" t="s">
        <v>146</v>
      </c>
      <c r="C66" s="15" t="s">
        <v>96</v>
      </c>
      <c r="D66" s="22" t="s">
        <v>32</v>
      </c>
      <c r="E66" s="16" t="s">
        <v>33</v>
      </c>
    </row>
    <row r="67" spans="1:5">
      <c r="A67" s="24">
        <v>80144154</v>
      </c>
      <c r="B67" s="18" t="s">
        <v>147</v>
      </c>
      <c r="C67" s="19" t="s">
        <v>96</v>
      </c>
      <c r="D67" s="23" t="s">
        <v>32</v>
      </c>
      <c r="E67" s="20" t="s">
        <v>33</v>
      </c>
    </row>
    <row r="68" spans="1:5">
      <c r="A68" s="21">
        <v>80248902</v>
      </c>
      <c r="B68" s="14" t="s">
        <v>148</v>
      </c>
      <c r="C68" s="15" t="s">
        <v>149</v>
      </c>
      <c r="D68" s="22" t="s">
        <v>32</v>
      </c>
      <c r="E68" s="16" t="s">
        <v>33</v>
      </c>
    </row>
    <row r="69" spans="1:5">
      <c r="A69" s="24">
        <v>80777187</v>
      </c>
      <c r="B69" s="18" t="s">
        <v>150</v>
      </c>
      <c r="C69" s="19" t="s">
        <v>43</v>
      </c>
      <c r="D69" s="20" t="s">
        <v>32</v>
      </c>
      <c r="E69" s="20" t="s">
        <v>33</v>
      </c>
    </row>
    <row r="70" spans="1:5">
      <c r="A70" s="21">
        <v>80863700</v>
      </c>
      <c r="B70" s="14" t="s">
        <v>151</v>
      </c>
      <c r="C70" s="15" t="s">
        <v>152</v>
      </c>
      <c r="D70" s="22" t="s">
        <v>32</v>
      </c>
      <c r="E70" s="16" t="s">
        <v>33</v>
      </c>
    </row>
    <row r="71" spans="1:5">
      <c r="A71" s="17">
        <v>87948328</v>
      </c>
      <c r="B71" s="18" t="s">
        <v>153</v>
      </c>
      <c r="C71" s="19" t="s">
        <v>154</v>
      </c>
      <c r="D71" s="23" t="s">
        <v>32</v>
      </c>
      <c r="E71" s="20" t="s">
        <v>33</v>
      </c>
    </row>
    <row r="72" spans="1:5">
      <c r="A72" s="21">
        <v>88233639</v>
      </c>
      <c r="B72" s="14" t="s">
        <v>155</v>
      </c>
      <c r="C72" s="15" t="s">
        <v>156</v>
      </c>
      <c r="D72" s="22" t="s">
        <v>32</v>
      </c>
      <c r="E72" s="16" t="s">
        <v>33</v>
      </c>
    </row>
    <row r="73" spans="1:5">
      <c r="A73" s="17">
        <v>91542701</v>
      </c>
      <c r="B73" s="18" t="s">
        <v>157</v>
      </c>
      <c r="C73" s="19" t="s">
        <v>41</v>
      </c>
      <c r="D73" s="23" t="s">
        <v>32</v>
      </c>
      <c r="E73" s="20" t="s">
        <v>33</v>
      </c>
    </row>
    <row r="74" spans="1:5">
      <c r="A74" s="25">
        <v>94041597</v>
      </c>
      <c r="B74" s="14" t="s">
        <v>158</v>
      </c>
      <c r="C74" s="15" t="s">
        <v>159</v>
      </c>
      <c r="D74" s="16" t="s">
        <v>32</v>
      </c>
      <c r="E74" s="16" t="s">
        <v>33</v>
      </c>
    </row>
    <row r="75" spans="1:5">
      <c r="A75" s="17">
        <v>94362404</v>
      </c>
      <c r="B75" s="18" t="s">
        <v>160</v>
      </c>
      <c r="C75" s="19" t="s">
        <v>161</v>
      </c>
      <c r="D75" s="23" t="s">
        <v>32</v>
      </c>
      <c r="E75" s="20" t="s">
        <v>33</v>
      </c>
    </row>
    <row r="76" spans="1:5">
      <c r="A76" s="21">
        <v>94379176</v>
      </c>
      <c r="B76" s="14" t="s">
        <v>162</v>
      </c>
      <c r="C76" s="15" t="s">
        <v>163</v>
      </c>
      <c r="D76" s="22" t="s">
        <v>32</v>
      </c>
      <c r="E76" s="16" t="s">
        <v>33</v>
      </c>
    </row>
    <row r="77" spans="1:5">
      <c r="A77" s="17">
        <v>94379608</v>
      </c>
      <c r="B77" s="18" t="s">
        <v>164</v>
      </c>
      <c r="C77" s="19" t="s">
        <v>135</v>
      </c>
      <c r="D77" s="23" t="s">
        <v>32</v>
      </c>
      <c r="E77" s="20" t="s">
        <v>33</v>
      </c>
    </row>
    <row r="78" spans="1:5">
      <c r="A78" s="21">
        <v>94384810</v>
      </c>
      <c r="B78" s="14" t="s">
        <v>165</v>
      </c>
      <c r="C78" s="15" t="s">
        <v>166</v>
      </c>
      <c r="D78" s="22" t="s">
        <v>32</v>
      </c>
      <c r="E78" s="16" t="s">
        <v>33</v>
      </c>
    </row>
    <row r="79" spans="1:5">
      <c r="A79" s="17">
        <v>94412591</v>
      </c>
      <c r="B79" s="18" t="s">
        <v>167</v>
      </c>
      <c r="C79" s="19" t="s">
        <v>168</v>
      </c>
      <c r="D79" s="23" t="s">
        <v>32</v>
      </c>
      <c r="E79" s="20" t="s">
        <v>33</v>
      </c>
    </row>
    <row r="80" spans="1:5">
      <c r="A80" s="21">
        <v>94416010</v>
      </c>
      <c r="B80" s="14" t="s">
        <v>169</v>
      </c>
      <c r="C80" s="15" t="s">
        <v>35</v>
      </c>
      <c r="D80" s="22" t="s">
        <v>32</v>
      </c>
      <c r="E80" s="16" t="s">
        <v>33</v>
      </c>
    </row>
    <row r="81" spans="1:5">
      <c r="A81" s="17">
        <v>94455633</v>
      </c>
      <c r="B81" s="18" t="s">
        <v>170</v>
      </c>
      <c r="C81" s="19" t="s">
        <v>142</v>
      </c>
      <c r="D81" s="23" t="s">
        <v>32</v>
      </c>
      <c r="E81" s="20" t="s">
        <v>33</v>
      </c>
    </row>
    <row r="82" spans="1:5">
      <c r="A82" s="21">
        <v>94489805</v>
      </c>
      <c r="B82" s="14" t="s">
        <v>171</v>
      </c>
      <c r="C82" s="15" t="s">
        <v>78</v>
      </c>
      <c r="D82" s="22" t="s">
        <v>32</v>
      </c>
      <c r="E82" s="16" t="s">
        <v>33</v>
      </c>
    </row>
    <row r="83" spans="1:5">
      <c r="A83" s="17">
        <v>94490967</v>
      </c>
      <c r="B83" s="18" t="s">
        <v>172</v>
      </c>
      <c r="C83" s="19" t="s">
        <v>173</v>
      </c>
      <c r="D83" s="23" t="s">
        <v>32</v>
      </c>
      <c r="E83" s="20" t="s">
        <v>33</v>
      </c>
    </row>
    <row r="84" spans="1:5">
      <c r="A84" s="21">
        <v>94494397</v>
      </c>
      <c r="B84" s="14" t="s">
        <v>174</v>
      </c>
      <c r="C84" s="15" t="s">
        <v>175</v>
      </c>
      <c r="D84" s="22" t="s">
        <v>32</v>
      </c>
      <c r="E84" s="16" t="s">
        <v>33</v>
      </c>
    </row>
    <row r="85" spans="1:5">
      <c r="A85" s="17">
        <v>94497131</v>
      </c>
      <c r="B85" s="18" t="s">
        <v>176</v>
      </c>
      <c r="C85" s="19" t="s">
        <v>139</v>
      </c>
      <c r="D85" s="23" t="s">
        <v>32</v>
      </c>
      <c r="E85" s="20" t="s">
        <v>33</v>
      </c>
    </row>
    <row r="86" spans="1:5">
      <c r="A86" s="21">
        <v>94533395</v>
      </c>
      <c r="B86" s="14" t="s">
        <v>177</v>
      </c>
      <c r="C86" s="15" t="s">
        <v>178</v>
      </c>
      <c r="D86" s="22" t="s">
        <v>32</v>
      </c>
      <c r="E86" s="16" t="s">
        <v>33</v>
      </c>
    </row>
    <row r="87" spans="1:5">
      <c r="A87" s="17">
        <v>94534454</v>
      </c>
      <c r="B87" s="18" t="s">
        <v>179</v>
      </c>
      <c r="C87" s="19" t="s">
        <v>180</v>
      </c>
      <c r="D87" s="23" t="s">
        <v>32</v>
      </c>
      <c r="E87" s="20" t="s">
        <v>33</v>
      </c>
    </row>
    <row r="88" spans="1:5">
      <c r="A88" s="21">
        <v>94552929</v>
      </c>
      <c r="B88" s="14" t="s">
        <v>181</v>
      </c>
      <c r="C88" s="15" t="s">
        <v>182</v>
      </c>
      <c r="D88" s="22" t="s">
        <v>32</v>
      </c>
      <c r="E88" s="16" t="s">
        <v>33</v>
      </c>
    </row>
    <row r="89" spans="1:5">
      <c r="A89" s="17">
        <v>98576835</v>
      </c>
      <c r="B89" s="18" t="s">
        <v>183</v>
      </c>
      <c r="C89" s="19" t="s">
        <v>184</v>
      </c>
      <c r="D89" s="23" t="s">
        <v>32</v>
      </c>
      <c r="E89" s="20" t="s">
        <v>33</v>
      </c>
    </row>
    <row r="90" spans="1:5">
      <c r="A90" s="21">
        <v>98704947</v>
      </c>
      <c r="B90" s="14" t="s">
        <v>185</v>
      </c>
      <c r="C90" s="15" t="s">
        <v>35</v>
      </c>
      <c r="D90" s="22" t="s">
        <v>32</v>
      </c>
      <c r="E90" s="16" t="s">
        <v>33</v>
      </c>
    </row>
    <row r="91" spans="1:5">
      <c r="A91" s="17">
        <v>98710388</v>
      </c>
      <c r="B91" s="18" t="s">
        <v>186</v>
      </c>
      <c r="C91" s="19" t="s">
        <v>35</v>
      </c>
      <c r="D91" s="23" t="s">
        <v>32</v>
      </c>
      <c r="E91" s="20" t="s">
        <v>33</v>
      </c>
    </row>
    <row r="92" spans="1:5">
      <c r="A92" s="21">
        <v>1003502772</v>
      </c>
      <c r="B92" s="14" t="s">
        <v>187</v>
      </c>
      <c r="C92" s="15" t="s">
        <v>188</v>
      </c>
      <c r="D92" s="22" t="s">
        <v>32</v>
      </c>
      <c r="E92" s="16" t="s">
        <v>33</v>
      </c>
    </row>
    <row r="93" spans="1:5">
      <c r="A93" s="17">
        <v>1004343552</v>
      </c>
      <c r="B93" s="18" t="s">
        <v>189</v>
      </c>
      <c r="C93" s="19" t="s">
        <v>190</v>
      </c>
      <c r="D93" s="23" t="s">
        <v>32</v>
      </c>
      <c r="E93" s="20" t="s">
        <v>33</v>
      </c>
    </row>
    <row r="94" spans="1:5">
      <c r="A94" s="21">
        <v>1004679942</v>
      </c>
      <c r="B94" s="14" t="s">
        <v>191</v>
      </c>
      <c r="C94" s="15" t="s">
        <v>76</v>
      </c>
      <c r="D94" s="22" t="s">
        <v>32</v>
      </c>
      <c r="E94" s="16" t="s">
        <v>33</v>
      </c>
    </row>
    <row r="95" spans="1:5">
      <c r="A95" s="24">
        <v>1006071007</v>
      </c>
      <c r="B95" s="18" t="s">
        <v>192</v>
      </c>
      <c r="C95" s="19" t="s">
        <v>193</v>
      </c>
      <c r="D95" s="23" t="s">
        <v>32</v>
      </c>
      <c r="E95" s="20" t="s">
        <v>33</v>
      </c>
    </row>
    <row r="96" spans="1:5">
      <c r="A96" s="21">
        <v>1006071935</v>
      </c>
      <c r="B96" s="14" t="s">
        <v>194</v>
      </c>
      <c r="C96" s="15" t="s">
        <v>195</v>
      </c>
      <c r="D96" s="22" t="s">
        <v>32</v>
      </c>
      <c r="E96" s="16" t="s">
        <v>33</v>
      </c>
    </row>
    <row r="97" spans="1:5">
      <c r="A97" s="17">
        <v>1006166197</v>
      </c>
      <c r="B97" s="18" t="s">
        <v>196</v>
      </c>
      <c r="C97" s="19" t="s">
        <v>197</v>
      </c>
      <c r="D97" s="23" t="s">
        <v>32</v>
      </c>
      <c r="E97" s="20" t="s">
        <v>33</v>
      </c>
    </row>
    <row r="98" spans="1:5">
      <c r="A98" s="13">
        <v>1006179079</v>
      </c>
      <c r="B98" s="26" t="s">
        <v>198</v>
      </c>
      <c r="C98" s="26" t="s">
        <v>199</v>
      </c>
      <c r="D98" s="16" t="s">
        <v>32</v>
      </c>
      <c r="E98" s="16" t="s">
        <v>33</v>
      </c>
    </row>
    <row r="99" spans="1:5">
      <c r="A99" s="17">
        <v>1006179609</v>
      </c>
      <c r="B99" s="18" t="s">
        <v>200</v>
      </c>
      <c r="C99" s="19" t="s">
        <v>201</v>
      </c>
      <c r="D99" s="23" t="s">
        <v>32</v>
      </c>
      <c r="E99" s="20" t="s">
        <v>33</v>
      </c>
    </row>
    <row r="100" spans="1:5">
      <c r="A100" s="13">
        <v>1006233920</v>
      </c>
      <c r="B100" s="14" t="s">
        <v>202</v>
      </c>
      <c r="C100" s="15" t="s">
        <v>199</v>
      </c>
      <c r="D100" s="16" t="s">
        <v>32</v>
      </c>
      <c r="E100" s="16" t="s">
        <v>33</v>
      </c>
    </row>
    <row r="101" spans="1:5">
      <c r="A101" s="24">
        <v>1006973100</v>
      </c>
      <c r="B101" s="18" t="s">
        <v>203</v>
      </c>
      <c r="C101" s="19" t="s">
        <v>96</v>
      </c>
      <c r="D101" s="23" t="s">
        <v>32</v>
      </c>
      <c r="E101" s="20" t="s">
        <v>33</v>
      </c>
    </row>
    <row r="102" spans="1:5">
      <c r="A102" s="13">
        <v>1007706871</v>
      </c>
      <c r="B102" s="14" t="s">
        <v>204</v>
      </c>
      <c r="C102" s="15" t="s">
        <v>199</v>
      </c>
      <c r="D102" s="16" t="s">
        <v>32</v>
      </c>
      <c r="E102" s="16" t="s">
        <v>33</v>
      </c>
    </row>
    <row r="103" spans="1:5">
      <c r="A103" s="17">
        <v>1012430782</v>
      </c>
      <c r="B103" s="18" t="s">
        <v>205</v>
      </c>
      <c r="C103" s="19" t="s">
        <v>206</v>
      </c>
      <c r="D103" s="23" t="s">
        <v>32</v>
      </c>
      <c r="E103" s="20" t="s">
        <v>33</v>
      </c>
    </row>
    <row r="104" spans="1:5">
      <c r="A104" s="21">
        <v>1012445767</v>
      </c>
      <c r="B104" s="14" t="s">
        <v>207</v>
      </c>
      <c r="C104" s="15" t="s">
        <v>35</v>
      </c>
      <c r="D104" s="16" t="s">
        <v>32</v>
      </c>
      <c r="E104" s="16" t="s">
        <v>33</v>
      </c>
    </row>
    <row r="105" spans="1:5">
      <c r="A105" s="24">
        <v>1017176446</v>
      </c>
      <c r="B105" s="18" t="s">
        <v>208</v>
      </c>
      <c r="C105" s="19" t="s">
        <v>209</v>
      </c>
      <c r="D105" s="23" t="s">
        <v>32</v>
      </c>
      <c r="E105" s="20" t="s">
        <v>33</v>
      </c>
    </row>
    <row r="106" spans="1:5">
      <c r="A106" s="21">
        <v>1019041186</v>
      </c>
      <c r="B106" s="14" t="s">
        <v>210</v>
      </c>
      <c r="C106" s="15" t="s">
        <v>211</v>
      </c>
      <c r="D106" s="22" t="s">
        <v>32</v>
      </c>
      <c r="E106" s="16" t="s">
        <v>33</v>
      </c>
    </row>
    <row r="107" spans="1:5">
      <c r="A107" s="17">
        <v>1020724679</v>
      </c>
      <c r="B107" s="18" t="s">
        <v>212</v>
      </c>
      <c r="C107" s="19" t="s">
        <v>193</v>
      </c>
      <c r="D107" s="23" t="s">
        <v>32</v>
      </c>
      <c r="E107" s="20" t="s">
        <v>33</v>
      </c>
    </row>
    <row r="108" spans="1:5">
      <c r="A108" s="21">
        <v>1024528225</v>
      </c>
      <c r="B108" s="14" t="s">
        <v>213</v>
      </c>
      <c r="C108" s="15" t="s">
        <v>214</v>
      </c>
      <c r="D108" s="22" t="s">
        <v>32</v>
      </c>
      <c r="E108" s="16" t="s">
        <v>33</v>
      </c>
    </row>
    <row r="109" spans="1:5">
      <c r="A109" s="17">
        <v>1032461748</v>
      </c>
      <c r="B109" s="18" t="s">
        <v>215</v>
      </c>
      <c r="C109" s="19" t="s">
        <v>178</v>
      </c>
      <c r="D109" s="23" t="s">
        <v>32</v>
      </c>
      <c r="E109" s="20" t="s">
        <v>33</v>
      </c>
    </row>
    <row r="110" spans="1:5">
      <c r="A110" s="21">
        <v>1033706128</v>
      </c>
      <c r="B110" s="14" t="s">
        <v>216</v>
      </c>
      <c r="C110" s="15" t="s">
        <v>209</v>
      </c>
      <c r="D110" s="22" t="s">
        <v>32</v>
      </c>
      <c r="E110" s="16" t="s">
        <v>33</v>
      </c>
    </row>
    <row r="111" spans="1:5">
      <c r="A111" s="17">
        <v>1035911032</v>
      </c>
      <c r="B111" s="18" t="s">
        <v>217</v>
      </c>
      <c r="C111" s="19" t="s">
        <v>35</v>
      </c>
      <c r="D111" s="23" t="s">
        <v>32</v>
      </c>
      <c r="E111" s="20" t="s">
        <v>33</v>
      </c>
    </row>
    <row r="112" spans="1:5">
      <c r="A112" s="21">
        <v>1042428165</v>
      </c>
      <c r="B112" s="14" t="s">
        <v>218</v>
      </c>
      <c r="C112" s="15" t="s">
        <v>219</v>
      </c>
      <c r="D112" s="22" t="s">
        <v>32</v>
      </c>
      <c r="E112" s="16" t="s">
        <v>33</v>
      </c>
    </row>
    <row r="113" spans="1:5">
      <c r="A113" s="17">
        <v>1045744953</v>
      </c>
      <c r="B113" s="18" t="s">
        <v>220</v>
      </c>
      <c r="C113" s="19" t="s">
        <v>156</v>
      </c>
      <c r="D113" s="23" t="s">
        <v>32</v>
      </c>
      <c r="E113" s="20" t="s">
        <v>33</v>
      </c>
    </row>
    <row r="114" spans="1:5">
      <c r="A114" s="21">
        <v>1047463260</v>
      </c>
      <c r="B114" s="14" t="s">
        <v>221</v>
      </c>
      <c r="C114" s="15" t="s">
        <v>222</v>
      </c>
      <c r="D114" s="22" t="s">
        <v>32</v>
      </c>
      <c r="E114" s="16" t="s">
        <v>33</v>
      </c>
    </row>
    <row r="115" spans="1:5">
      <c r="A115" s="17">
        <v>1051815385</v>
      </c>
      <c r="B115" s="18" t="s">
        <v>223</v>
      </c>
      <c r="C115" s="19" t="s">
        <v>224</v>
      </c>
      <c r="D115" s="23" t="s">
        <v>32</v>
      </c>
      <c r="E115" s="20" t="s">
        <v>33</v>
      </c>
    </row>
    <row r="116" spans="1:5">
      <c r="A116" s="21">
        <v>1052967178</v>
      </c>
      <c r="B116" s="14" t="s">
        <v>225</v>
      </c>
      <c r="C116" s="15" t="s">
        <v>50</v>
      </c>
      <c r="D116" s="22" t="s">
        <v>32</v>
      </c>
      <c r="E116" s="16" t="s">
        <v>33</v>
      </c>
    </row>
    <row r="117" spans="1:5">
      <c r="A117" s="17">
        <v>1057575021</v>
      </c>
      <c r="B117" s="18" t="s">
        <v>226</v>
      </c>
      <c r="C117" s="19" t="s">
        <v>227</v>
      </c>
      <c r="D117" s="23" t="s">
        <v>32</v>
      </c>
      <c r="E117" s="20" t="s">
        <v>33</v>
      </c>
    </row>
    <row r="118" spans="1:5">
      <c r="A118" s="21">
        <v>1058788741</v>
      </c>
      <c r="B118" s="14" t="s">
        <v>228</v>
      </c>
      <c r="C118" s="15" t="s">
        <v>229</v>
      </c>
      <c r="D118" s="22" t="s">
        <v>32</v>
      </c>
      <c r="E118" s="16" t="s">
        <v>33</v>
      </c>
    </row>
    <row r="119" spans="1:5">
      <c r="A119" s="17">
        <v>1063292206</v>
      </c>
      <c r="B119" s="18" t="s">
        <v>230</v>
      </c>
      <c r="C119" s="19" t="s">
        <v>231</v>
      </c>
      <c r="D119" s="23" t="s">
        <v>32</v>
      </c>
      <c r="E119" s="20" t="s">
        <v>33</v>
      </c>
    </row>
    <row r="120" spans="1:5">
      <c r="A120" s="21">
        <v>1066727697</v>
      </c>
      <c r="B120" s="14" t="s">
        <v>232</v>
      </c>
      <c r="C120" s="15" t="s">
        <v>233</v>
      </c>
      <c r="D120" s="16" t="s">
        <v>32</v>
      </c>
      <c r="E120" s="16" t="s">
        <v>33</v>
      </c>
    </row>
    <row r="121" spans="1:5">
      <c r="A121" s="17">
        <v>1072525895</v>
      </c>
      <c r="B121" s="18" t="s">
        <v>234</v>
      </c>
      <c r="C121" s="19" t="s">
        <v>235</v>
      </c>
      <c r="D121" s="23" t="s">
        <v>32</v>
      </c>
      <c r="E121" s="20" t="s">
        <v>33</v>
      </c>
    </row>
    <row r="122" spans="1:5">
      <c r="A122" s="21">
        <v>1073236161</v>
      </c>
      <c r="B122" s="14" t="s">
        <v>236</v>
      </c>
      <c r="C122" s="15" t="s">
        <v>50</v>
      </c>
      <c r="D122" s="22" t="s">
        <v>32</v>
      </c>
      <c r="E122" s="16" t="s">
        <v>33</v>
      </c>
    </row>
    <row r="123" spans="1:5">
      <c r="A123" s="24">
        <v>1073512307</v>
      </c>
      <c r="B123" s="18" t="s">
        <v>237</v>
      </c>
      <c r="C123" s="19" t="s">
        <v>50</v>
      </c>
      <c r="D123" s="23" t="s">
        <v>32</v>
      </c>
      <c r="E123" s="20" t="s">
        <v>33</v>
      </c>
    </row>
    <row r="124" spans="1:5">
      <c r="A124" s="21">
        <v>1074187166</v>
      </c>
      <c r="B124" s="14" t="s">
        <v>238</v>
      </c>
      <c r="C124" s="15" t="s">
        <v>239</v>
      </c>
      <c r="D124" s="22" t="s">
        <v>32</v>
      </c>
      <c r="E124" s="16" t="s">
        <v>33</v>
      </c>
    </row>
    <row r="125" spans="1:5">
      <c r="A125" s="17">
        <v>1078827084</v>
      </c>
      <c r="B125" s="18" t="s">
        <v>240</v>
      </c>
      <c r="C125" s="19" t="s">
        <v>35</v>
      </c>
      <c r="D125" s="23" t="s">
        <v>32</v>
      </c>
      <c r="E125" s="20" t="s">
        <v>33</v>
      </c>
    </row>
    <row r="126" spans="1:5">
      <c r="A126" s="21">
        <v>1081815709</v>
      </c>
      <c r="B126" s="14" t="s">
        <v>241</v>
      </c>
      <c r="C126" s="15" t="s">
        <v>35</v>
      </c>
      <c r="D126" s="22" t="s">
        <v>32</v>
      </c>
      <c r="E126" s="16" t="s">
        <v>33</v>
      </c>
    </row>
    <row r="127" spans="1:5">
      <c r="A127" s="24">
        <v>1087118655</v>
      </c>
      <c r="B127" s="18" t="s">
        <v>242</v>
      </c>
      <c r="C127" s="19" t="s">
        <v>43</v>
      </c>
      <c r="D127" s="23" t="s">
        <v>32</v>
      </c>
      <c r="E127" s="20" t="s">
        <v>33</v>
      </c>
    </row>
    <row r="128" spans="1:5">
      <c r="A128" s="21">
        <v>1093775340</v>
      </c>
      <c r="B128" s="14" t="s">
        <v>243</v>
      </c>
      <c r="C128" s="15" t="s">
        <v>35</v>
      </c>
      <c r="D128" s="22" t="s">
        <v>32</v>
      </c>
      <c r="E128" s="16" t="s">
        <v>33</v>
      </c>
    </row>
    <row r="129" spans="1:5">
      <c r="A129" s="17">
        <v>1095924847</v>
      </c>
      <c r="B129" s="18" t="s">
        <v>244</v>
      </c>
      <c r="C129" s="19" t="s">
        <v>96</v>
      </c>
      <c r="D129" s="23" t="s">
        <v>32</v>
      </c>
      <c r="E129" s="20" t="s">
        <v>33</v>
      </c>
    </row>
    <row r="130" spans="1:5">
      <c r="A130" s="21">
        <v>1098650016</v>
      </c>
      <c r="B130" s="14" t="s">
        <v>245</v>
      </c>
      <c r="C130" s="15" t="s">
        <v>246</v>
      </c>
      <c r="D130" s="16" t="s">
        <v>32</v>
      </c>
      <c r="E130" s="16" t="s">
        <v>33</v>
      </c>
    </row>
    <row r="131" spans="1:5">
      <c r="A131" s="17">
        <v>1098719190</v>
      </c>
      <c r="B131" s="18" t="s">
        <v>247</v>
      </c>
      <c r="C131" s="19" t="s">
        <v>248</v>
      </c>
      <c r="D131" s="23" t="s">
        <v>32</v>
      </c>
      <c r="E131" s="20" t="s">
        <v>33</v>
      </c>
    </row>
    <row r="132" spans="1:5">
      <c r="A132" s="13">
        <v>1098745751</v>
      </c>
      <c r="B132" s="14" t="s">
        <v>249</v>
      </c>
      <c r="C132" s="15" t="s">
        <v>193</v>
      </c>
      <c r="D132" s="16" t="s">
        <v>32</v>
      </c>
      <c r="E132" s="16" t="s">
        <v>33</v>
      </c>
    </row>
    <row r="133" spans="1:5">
      <c r="A133" s="24">
        <v>1098757060</v>
      </c>
      <c r="B133" s="18" t="s">
        <v>250</v>
      </c>
      <c r="C133" s="19" t="s">
        <v>50</v>
      </c>
      <c r="D133" s="23" t="s">
        <v>32</v>
      </c>
      <c r="E133" s="20" t="s">
        <v>33</v>
      </c>
    </row>
    <row r="134" spans="1:5">
      <c r="A134" s="21">
        <v>1101684849</v>
      </c>
      <c r="B134" s="14" t="s">
        <v>251</v>
      </c>
      <c r="C134" s="15" t="s">
        <v>252</v>
      </c>
      <c r="D134" s="22" t="s">
        <v>32</v>
      </c>
      <c r="E134" s="16" t="s">
        <v>33</v>
      </c>
    </row>
    <row r="135" spans="1:5">
      <c r="A135" s="17">
        <v>1104379979</v>
      </c>
      <c r="B135" s="18" t="s">
        <v>253</v>
      </c>
      <c r="C135" s="19" t="s">
        <v>144</v>
      </c>
      <c r="D135" s="20" t="s">
        <v>32</v>
      </c>
      <c r="E135" s="20" t="s">
        <v>33</v>
      </c>
    </row>
    <row r="136" spans="1:5">
      <c r="A136" s="21">
        <v>1105613195</v>
      </c>
      <c r="B136" s="14" t="s">
        <v>254</v>
      </c>
      <c r="C136" s="15" t="s">
        <v>255</v>
      </c>
      <c r="D136" s="22" t="s">
        <v>32</v>
      </c>
      <c r="E136" s="16" t="s">
        <v>33</v>
      </c>
    </row>
    <row r="137" spans="1:5">
      <c r="A137" s="24">
        <v>1107053782</v>
      </c>
      <c r="B137" s="18" t="s">
        <v>256</v>
      </c>
      <c r="C137" s="19" t="s">
        <v>195</v>
      </c>
      <c r="D137" s="20" t="s">
        <v>32</v>
      </c>
      <c r="E137" s="20" t="s">
        <v>33</v>
      </c>
    </row>
    <row r="138" spans="1:5">
      <c r="A138" s="21">
        <v>1107079079</v>
      </c>
      <c r="B138" s="14" t="s">
        <v>257</v>
      </c>
      <c r="C138" s="15" t="s">
        <v>258</v>
      </c>
      <c r="D138" s="22" t="s">
        <v>32</v>
      </c>
      <c r="E138" s="16" t="s">
        <v>33</v>
      </c>
    </row>
    <row r="139" spans="1:5">
      <c r="A139" s="17">
        <v>1107091125</v>
      </c>
      <c r="B139" s="18" t="s">
        <v>259</v>
      </c>
      <c r="C139" s="19" t="s">
        <v>260</v>
      </c>
      <c r="D139" s="23" t="s">
        <v>32</v>
      </c>
      <c r="E139" s="20" t="s">
        <v>33</v>
      </c>
    </row>
    <row r="140" spans="1:5">
      <c r="A140" s="21">
        <v>1107098788</v>
      </c>
      <c r="B140" s="14" t="s">
        <v>261</v>
      </c>
      <c r="C140" s="15" t="s">
        <v>262</v>
      </c>
      <c r="D140" s="22" t="s">
        <v>32</v>
      </c>
      <c r="E140" s="16" t="s">
        <v>33</v>
      </c>
    </row>
    <row r="141" spans="1:5">
      <c r="A141" s="24">
        <v>1107522334</v>
      </c>
      <c r="B141" s="18" t="s">
        <v>263</v>
      </c>
      <c r="C141" s="19" t="s">
        <v>264</v>
      </c>
      <c r="D141" s="20" t="s">
        <v>32</v>
      </c>
      <c r="E141" s="20" t="s">
        <v>33</v>
      </c>
    </row>
    <row r="142" spans="1:5">
      <c r="A142" s="13">
        <v>1109544955</v>
      </c>
      <c r="B142" s="14" t="s">
        <v>265</v>
      </c>
      <c r="C142" s="15" t="s">
        <v>266</v>
      </c>
      <c r="D142" s="22" t="s">
        <v>32</v>
      </c>
      <c r="E142" s="16" t="s">
        <v>33</v>
      </c>
    </row>
    <row r="143" spans="1:5">
      <c r="A143" s="24">
        <v>1109664604</v>
      </c>
      <c r="B143" s="18" t="s">
        <v>267</v>
      </c>
      <c r="C143" s="19" t="s">
        <v>268</v>
      </c>
      <c r="D143" s="20" t="s">
        <v>32</v>
      </c>
      <c r="E143" s="20" t="s">
        <v>33</v>
      </c>
    </row>
    <row r="144" spans="1:5">
      <c r="A144" s="13">
        <v>1111541440</v>
      </c>
      <c r="B144" s="14" t="s">
        <v>269</v>
      </c>
      <c r="C144" s="15" t="s">
        <v>266</v>
      </c>
      <c r="D144" s="22" t="s">
        <v>32</v>
      </c>
      <c r="E144" s="16" t="s">
        <v>33</v>
      </c>
    </row>
    <row r="145" spans="1:5">
      <c r="A145" s="24">
        <v>1111660868</v>
      </c>
      <c r="B145" s="18" t="s">
        <v>270</v>
      </c>
      <c r="C145" s="19" t="s">
        <v>199</v>
      </c>
      <c r="D145" s="20" t="s">
        <v>32</v>
      </c>
      <c r="E145" s="20" t="s">
        <v>33</v>
      </c>
    </row>
    <row r="146" spans="1:5">
      <c r="A146" s="21">
        <v>1111750142</v>
      </c>
      <c r="B146" s="14" t="s">
        <v>271</v>
      </c>
      <c r="C146" s="15" t="s">
        <v>144</v>
      </c>
      <c r="D146" s="22" t="s">
        <v>32</v>
      </c>
      <c r="E146" s="16" t="s">
        <v>33</v>
      </c>
    </row>
    <row r="147" spans="1:5">
      <c r="A147" s="17">
        <v>1111787175</v>
      </c>
      <c r="B147" s="18" t="s">
        <v>272</v>
      </c>
      <c r="C147" s="19" t="s">
        <v>50</v>
      </c>
      <c r="D147" s="23" t="s">
        <v>32</v>
      </c>
      <c r="E147" s="20" t="s">
        <v>33</v>
      </c>
    </row>
    <row r="148" spans="1:5">
      <c r="A148" s="21">
        <v>1113039658</v>
      </c>
      <c r="B148" s="14" t="s">
        <v>273</v>
      </c>
      <c r="C148" s="15" t="s">
        <v>274</v>
      </c>
      <c r="D148" s="22" t="s">
        <v>32</v>
      </c>
      <c r="E148" s="16" t="s">
        <v>33</v>
      </c>
    </row>
    <row r="149" spans="1:5">
      <c r="A149" s="17">
        <v>1113535771</v>
      </c>
      <c r="B149" s="18" t="s">
        <v>275</v>
      </c>
      <c r="C149" s="19" t="s">
        <v>276</v>
      </c>
      <c r="D149" s="23" t="s">
        <v>32</v>
      </c>
      <c r="E149" s="20" t="s">
        <v>33</v>
      </c>
    </row>
    <row r="150" spans="1:5">
      <c r="A150" s="21">
        <v>1113631769</v>
      </c>
      <c r="B150" s="14" t="s">
        <v>277</v>
      </c>
      <c r="C150" s="15" t="s">
        <v>278</v>
      </c>
      <c r="D150" s="22" t="s">
        <v>32</v>
      </c>
      <c r="E150" s="16" t="s">
        <v>33</v>
      </c>
    </row>
    <row r="151" spans="1:5">
      <c r="A151" s="24">
        <v>1113651689</v>
      </c>
      <c r="B151" s="18" t="s">
        <v>279</v>
      </c>
      <c r="C151" s="19" t="s">
        <v>193</v>
      </c>
      <c r="D151" s="23" t="s">
        <v>32</v>
      </c>
      <c r="E151" s="20" t="s">
        <v>33</v>
      </c>
    </row>
    <row r="152" spans="1:5">
      <c r="A152" s="21">
        <v>1113691550</v>
      </c>
      <c r="B152" s="14" t="s">
        <v>280</v>
      </c>
      <c r="C152" s="15" t="s">
        <v>281</v>
      </c>
      <c r="D152" s="22" t="s">
        <v>32</v>
      </c>
      <c r="E152" s="16" t="s">
        <v>33</v>
      </c>
    </row>
    <row r="153" spans="1:5">
      <c r="A153" s="17">
        <v>1113698048</v>
      </c>
      <c r="B153" s="18" t="s">
        <v>282</v>
      </c>
      <c r="C153" s="19" t="s">
        <v>283</v>
      </c>
      <c r="D153" s="23" t="s">
        <v>32</v>
      </c>
      <c r="E153" s="20" t="s">
        <v>33</v>
      </c>
    </row>
    <row r="154" spans="1:5">
      <c r="A154" s="21">
        <v>1114736537</v>
      </c>
      <c r="B154" s="14" t="s">
        <v>284</v>
      </c>
      <c r="C154" s="15" t="s">
        <v>285</v>
      </c>
      <c r="D154" s="22" t="s">
        <v>32</v>
      </c>
      <c r="E154" s="16" t="s">
        <v>33</v>
      </c>
    </row>
    <row r="155" spans="1:5">
      <c r="A155" s="17">
        <v>1114817376</v>
      </c>
      <c r="B155" s="18" t="s">
        <v>286</v>
      </c>
      <c r="C155" s="19" t="s">
        <v>76</v>
      </c>
      <c r="D155" s="23" t="s">
        <v>32</v>
      </c>
      <c r="E155" s="20" t="s">
        <v>33</v>
      </c>
    </row>
    <row r="156" spans="1:5">
      <c r="A156" s="21">
        <v>1114827383</v>
      </c>
      <c r="B156" s="14" t="s">
        <v>287</v>
      </c>
      <c r="C156" s="15" t="s">
        <v>288</v>
      </c>
      <c r="D156" s="22" t="s">
        <v>32</v>
      </c>
      <c r="E156" s="16" t="s">
        <v>33</v>
      </c>
    </row>
    <row r="157" spans="1:5">
      <c r="A157" s="17">
        <v>1114832594</v>
      </c>
      <c r="B157" s="18" t="s">
        <v>289</v>
      </c>
      <c r="C157" s="19" t="s">
        <v>290</v>
      </c>
      <c r="D157" s="23" t="s">
        <v>32</v>
      </c>
      <c r="E157" s="20" t="s">
        <v>33</v>
      </c>
    </row>
    <row r="158" spans="1:5">
      <c r="A158" s="21">
        <v>1114839016</v>
      </c>
      <c r="B158" s="14" t="s">
        <v>291</v>
      </c>
      <c r="C158" s="15" t="s">
        <v>76</v>
      </c>
      <c r="D158" s="22" t="s">
        <v>32</v>
      </c>
      <c r="E158" s="16" t="s">
        <v>33</v>
      </c>
    </row>
    <row r="159" spans="1:5">
      <c r="A159" s="17">
        <v>1114900682</v>
      </c>
      <c r="B159" s="18" t="s">
        <v>292</v>
      </c>
      <c r="C159" s="19" t="s">
        <v>41</v>
      </c>
      <c r="D159" s="23" t="s">
        <v>32</v>
      </c>
      <c r="E159" s="20" t="s">
        <v>33</v>
      </c>
    </row>
    <row r="160" spans="1:5">
      <c r="A160" s="21">
        <v>1116245205</v>
      </c>
      <c r="B160" s="14" t="s">
        <v>293</v>
      </c>
      <c r="C160" s="15" t="s">
        <v>229</v>
      </c>
      <c r="D160" s="22" t="s">
        <v>32</v>
      </c>
      <c r="E160" s="16" t="s">
        <v>33</v>
      </c>
    </row>
    <row r="161" spans="1:5">
      <c r="A161" s="17">
        <v>1118307632</v>
      </c>
      <c r="B161" s="18" t="s">
        <v>294</v>
      </c>
      <c r="C161" s="19" t="s">
        <v>76</v>
      </c>
      <c r="D161" s="23" t="s">
        <v>32</v>
      </c>
      <c r="E161" s="20" t="s">
        <v>33</v>
      </c>
    </row>
    <row r="162" spans="1:5">
      <c r="A162" s="21">
        <v>1127345887</v>
      </c>
      <c r="B162" s="14" t="s">
        <v>295</v>
      </c>
      <c r="C162" s="15" t="s">
        <v>50</v>
      </c>
      <c r="D162" s="22" t="s">
        <v>32</v>
      </c>
      <c r="E162" s="16" t="s">
        <v>33</v>
      </c>
    </row>
    <row r="163" spans="1:5">
      <c r="A163" s="17">
        <v>1128440987</v>
      </c>
      <c r="B163" s="18" t="s">
        <v>296</v>
      </c>
      <c r="C163" s="19" t="s">
        <v>184</v>
      </c>
      <c r="D163" s="23" t="s">
        <v>32</v>
      </c>
      <c r="E163" s="20" t="s">
        <v>33</v>
      </c>
    </row>
    <row r="164" spans="1:5">
      <c r="A164" s="21">
        <v>1128480054</v>
      </c>
      <c r="B164" s="14" t="s">
        <v>297</v>
      </c>
      <c r="C164" s="15" t="s">
        <v>298</v>
      </c>
      <c r="D164" s="22" t="s">
        <v>32</v>
      </c>
      <c r="E164" s="16" t="s">
        <v>33</v>
      </c>
    </row>
    <row r="165" spans="1:5">
      <c r="A165" s="17">
        <v>1129492426</v>
      </c>
      <c r="B165" s="18" t="s">
        <v>299</v>
      </c>
      <c r="C165" s="19" t="s">
        <v>300</v>
      </c>
      <c r="D165" s="23" t="s">
        <v>32</v>
      </c>
      <c r="E165" s="20" t="s">
        <v>33</v>
      </c>
    </row>
    <row r="166" spans="1:5">
      <c r="A166" s="21">
        <v>1130591645</v>
      </c>
      <c r="B166" s="14" t="s">
        <v>301</v>
      </c>
      <c r="C166" s="15" t="s">
        <v>175</v>
      </c>
      <c r="D166" s="22" t="s">
        <v>32</v>
      </c>
      <c r="E166" s="16" t="s">
        <v>33</v>
      </c>
    </row>
    <row r="167" spans="1:5">
      <c r="A167" s="17">
        <v>1130595786</v>
      </c>
      <c r="B167" s="18" t="s">
        <v>302</v>
      </c>
      <c r="C167" s="19" t="s">
        <v>193</v>
      </c>
      <c r="D167" s="23" t="s">
        <v>32</v>
      </c>
      <c r="E167" s="20" t="s">
        <v>33</v>
      </c>
    </row>
    <row r="168" spans="1:5">
      <c r="A168" s="21">
        <v>1130604238</v>
      </c>
      <c r="B168" s="14" t="s">
        <v>303</v>
      </c>
      <c r="C168" s="15" t="s">
        <v>304</v>
      </c>
      <c r="D168" s="22" t="s">
        <v>32</v>
      </c>
      <c r="E168" s="16" t="s">
        <v>33</v>
      </c>
    </row>
    <row r="169" spans="1:5">
      <c r="A169" s="17">
        <v>1130629301</v>
      </c>
      <c r="B169" s="18" t="s">
        <v>305</v>
      </c>
      <c r="C169" s="19" t="s">
        <v>142</v>
      </c>
      <c r="D169" s="23" t="s">
        <v>32</v>
      </c>
      <c r="E169" s="20" t="s">
        <v>33</v>
      </c>
    </row>
    <row r="170" spans="1:5">
      <c r="A170" s="13">
        <v>1140423953</v>
      </c>
      <c r="B170" s="14" t="s">
        <v>306</v>
      </c>
      <c r="C170" s="15" t="s">
        <v>144</v>
      </c>
      <c r="D170" s="22" t="s">
        <v>32</v>
      </c>
      <c r="E170" s="16" t="s">
        <v>33</v>
      </c>
    </row>
    <row r="171" spans="1:5">
      <c r="A171" s="17">
        <v>1140824646</v>
      </c>
      <c r="B171" s="18" t="s">
        <v>307</v>
      </c>
      <c r="C171" s="19" t="s">
        <v>178</v>
      </c>
      <c r="D171" s="23" t="s">
        <v>32</v>
      </c>
      <c r="E171" s="20" t="s">
        <v>33</v>
      </c>
    </row>
    <row r="172" spans="1:5">
      <c r="A172" s="21">
        <v>1143828516</v>
      </c>
      <c r="B172" s="14" t="s">
        <v>308</v>
      </c>
      <c r="C172" s="15" t="s">
        <v>309</v>
      </c>
      <c r="D172" s="22" t="s">
        <v>32</v>
      </c>
      <c r="E172" s="16" t="s">
        <v>33</v>
      </c>
    </row>
    <row r="173" spans="1:5">
      <c r="A173" s="17">
        <v>1143840049</v>
      </c>
      <c r="B173" s="18" t="s">
        <v>310</v>
      </c>
      <c r="C173" s="19" t="s">
        <v>311</v>
      </c>
      <c r="D173" s="23" t="s">
        <v>32</v>
      </c>
      <c r="E173" s="20" t="s">
        <v>33</v>
      </c>
    </row>
    <row r="174" spans="1:5">
      <c r="A174" s="21">
        <v>1143849288</v>
      </c>
      <c r="B174" s="14" t="s">
        <v>312</v>
      </c>
      <c r="C174" s="15" t="s">
        <v>313</v>
      </c>
      <c r="D174" s="22" t="s">
        <v>32</v>
      </c>
      <c r="E174" s="16" t="s">
        <v>33</v>
      </c>
    </row>
    <row r="175" spans="1:5">
      <c r="A175" s="24">
        <v>1143858026</v>
      </c>
      <c r="B175" s="18" t="s">
        <v>314</v>
      </c>
      <c r="C175" s="19" t="s">
        <v>315</v>
      </c>
      <c r="D175" s="20" t="s">
        <v>32</v>
      </c>
      <c r="E175" s="20" t="s">
        <v>33</v>
      </c>
    </row>
    <row r="176" spans="1:5">
      <c r="A176" s="21">
        <v>1143874877</v>
      </c>
      <c r="B176" s="14" t="s">
        <v>316</v>
      </c>
      <c r="C176" s="15" t="s">
        <v>317</v>
      </c>
      <c r="D176" s="22" t="s">
        <v>32</v>
      </c>
      <c r="E176" s="16" t="s">
        <v>33</v>
      </c>
    </row>
    <row r="177" spans="1:5">
      <c r="A177" s="17">
        <v>1143877025</v>
      </c>
      <c r="B177" s="18" t="s">
        <v>318</v>
      </c>
      <c r="C177" s="19" t="s">
        <v>319</v>
      </c>
      <c r="D177" s="23" t="s">
        <v>32</v>
      </c>
      <c r="E177" s="20" t="s">
        <v>33</v>
      </c>
    </row>
    <row r="178" spans="1:5">
      <c r="A178" s="21">
        <v>1143936134</v>
      </c>
      <c r="B178" s="14" t="s">
        <v>320</v>
      </c>
      <c r="C178" s="15" t="s">
        <v>41</v>
      </c>
      <c r="D178" s="22" t="s">
        <v>32</v>
      </c>
      <c r="E178" s="16" t="s">
        <v>33</v>
      </c>
    </row>
    <row r="179" spans="1:5">
      <c r="A179" s="17">
        <v>1143955600</v>
      </c>
      <c r="B179" s="18" t="s">
        <v>321</v>
      </c>
      <c r="C179" s="19" t="s">
        <v>322</v>
      </c>
      <c r="D179" s="23" t="s">
        <v>32</v>
      </c>
      <c r="E179" s="20" t="s">
        <v>33</v>
      </c>
    </row>
    <row r="180" spans="1:5">
      <c r="A180" s="21">
        <v>1143980850</v>
      </c>
      <c r="B180" s="14" t="s">
        <v>323</v>
      </c>
      <c r="C180" s="15" t="s">
        <v>324</v>
      </c>
      <c r="D180" s="22" t="s">
        <v>32</v>
      </c>
      <c r="E180" s="16" t="s">
        <v>33</v>
      </c>
    </row>
    <row r="181" spans="1:5">
      <c r="A181" s="24">
        <v>1143992703</v>
      </c>
      <c r="B181" s="18" t="s">
        <v>325</v>
      </c>
      <c r="C181" s="19" t="s">
        <v>266</v>
      </c>
      <c r="D181" s="23" t="s">
        <v>32</v>
      </c>
      <c r="E181" s="20" t="s">
        <v>33</v>
      </c>
    </row>
    <row r="182" spans="1:5">
      <c r="A182" s="21">
        <v>1143996103</v>
      </c>
      <c r="B182" s="14" t="s">
        <v>326</v>
      </c>
      <c r="C182" s="15" t="s">
        <v>276</v>
      </c>
      <c r="D182" s="22" t="s">
        <v>32</v>
      </c>
      <c r="E182" s="16" t="s">
        <v>33</v>
      </c>
    </row>
    <row r="183" spans="1:5">
      <c r="A183" s="17">
        <v>1144053690</v>
      </c>
      <c r="B183" s="18" t="s">
        <v>327</v>
      </c>
      <c r="C183" s="19" t="s">
        <v>328</v>
      </c>
      <c r="D183" s="23" t="s">
        <v>32</v>
      </c>
      <c r="E183" s="20" t="s">
        <v>33</v>
      </c>
    </row>
    <row r="184" spans="1:5">
      <c r="A184" s="21">
        <v>1144054458</v>
      </c>
      <c r="B184" s="14" t="s">
        <v>329</v>
      </c>
      <c r="C184" s="15" t="s">
        <v>74</v>
      </c>
      <c r="D184" s="22" t="s">
        <v>32</v>
      </c>
      <c r="E184" s="16" t="s">
        <v>33</v>
      </c>
    </row>
    <row r="185" spans="1:5">
      <c r="A185" s="17">
        <v>1144072608</v>
      </c>
      <c r="B185" s="18" t="s">
        <v>330</v>
      </c>
      <c r="C185" s="19" t="s">
        <v>96</v>
      </c>
      <c r="D185" s="23" t="s">
        <v>32</v>
      </c>
      <c r="E185" s="20" t="s">
        <v>33</v>
      </c>
    </row>
    <row r="186" spans="1:5">
      <c r="A186" s="21">
        <v>1144091285</v>
      </c>
      <c r="B186" s="14" t="s">
        <v>331</v>
      </c>
      <c r="C186" s="15" t="s">
        <v>332</v>
      </c>
      <c r="D186" s="22" t="s">
        <v>32</v>
      </c>
      <c r="E186" s="16" t="s">
        <v>33</v>
      </c>
    </row>
    <row r="187" spans="1:5">
      <c r="A187" s="24">
        <v>1144130208</v>
      </c>
      <c r="B187" s="18" t="s">
        <v>333</v>
      </c>
      <c r="C187" s="19" t="s">
        <v>65</v>
      </c>
      <c r="D187" s="23" t="s">
        <v>32</v>
      </c>
      <c r="E187" s="20" t="s">
        <v>33</v>
      </c>
    </row>
    <row r="188" spans="1:5">
      <c r="A188" s="21">
        <v>1144140038</v>
      </c>
      <c r="B188" s="14" t="s">
        <v>334</v>
      </c>
      <c r="C188" s="15" t="s">
        <v>335</v>
      </c>
      <c r="D188" s="22" t="s">
        <v>32</v>
      </c>
      <c r="E188" s="16" t="s">
        <v>33</v>
      </c>
    </row>
    <row r="189" spans="1:5">
      <c r="A189" s="17">
        <v>1144145806</v>
      </c>
      <c r="B189" s="18" t="s">
        <v>336</v>
      </c>
      <c r="C189" s="19" t="s">
        <v>337</v>
      </c>
      <c r="D189" s="20" t="s">
        <v>32</v>
      </c>
      <c r="E189" s="20" t="s">
        <v>33</v>
      </c>
    </row>
    <row r="190" spans="1:5">
      <c r="A190" s="13">
        <v>1144147351</v>
      </c>
      <c r="B190" s="14" t="s">
        <v>338</v>
      </c>
      <c r="C190" s="15" t="s">
        <v>339</v>
      </c>
      <c r="D190" s="22" t="s">
        <v>32</v>
      </c>
      <c r="E190" s="16" t="s">
        <v>33</v>
      </c>
    </row>
    <row r="191" spans="1:5">
      <c r="A191" s="17">
        <v>1144154357</v>
      </c>
      <c r="B191" s="18" t="s">
        <v>340</v>
      </c>
      <c r="C191" s="19" t="s">
        <v>324</v>
      </c>
      <c r="D191" s="23" t="s">
        <v>32</v>
      </c>
      <c r="E191" s="20" t="s">
        <v>33</v>
      </c>
    </row>
    <row r="192" spans="1:5">
      <c r="A192" s="21">
        <v>1144164691</v>
      </c>
      <c r="B192" s="14" t="s">
        <v>341</v>
      </c>
      <c r="C192" s="15" t="s">
        <v>41</v>
      </c>
      <c r="D192" s="22" t="s">
        <v>32</v>
      </c>
      <c r="E192" s="16" t="s">
        <v>33</v>
      </c>
    </row>
    <row r="193" spans="1:5">
      <c r="A193" s="17">
        <v>1144177046</v>
      </c>
      <c r="B193" s="18" t="s">
        <v>342</v>
      </c>
      <c r="C193" s="19" t="s">
        <v>343</v>
      </c>
      <c r="D193" s="23" t="s">
        <v>32</v>
      </c>
      <c r="E193" s="20" t="s">
        <v>33</v>
      </c>
    </row>
    <row r="194" spans="1:5">
      <c r="A194" s="13">
        <v>1144178356</v>
      </c>
      <c r="B194" s="14" t="s">
        <v>344</v>
      </c>
      <c r="C194" s="15" t="s">
        <v>231</v>
      </c>
      <c r="D194" s="16" t="s">
        <v>32</v>
      </c>
      <c r="E194" s="16" t="s">
        <v>33</v>
      </c>
    </row>
    <row r="195" spans="1:5">
      <c r="A195" s="17">
        <v>1144192165</v>
      </c>
      <c r="B195" s="18" t="s">
        <v>345</v>
      </c>
      <c r="C195" s="19" t="s">
        <v>346</v>
      </c>
      <c r="D195" s="23" t="s">
        <v>32</v>
      </c>
      <c r="E195" s="20" t="s">
        <v>33</v>
      </c>
    </row>
    <row r="196" spans="1:5">
      <c r="A196" s="21">
        <v>1144195582</v>
      </c>
      <c r="B196" s="14" t="s">
        <v>347</v>
      </c>
      <c r="C196" s="15" t="s">
        <v>41</v>
      </c>
      <c r="D196" s="22" t="s">
        <v>32</v>
      </c>
      <c r="E196" s="16" t="s">
        <v>33</v>
      </c>
    </row>
    <row r="197" spans="1:5">
      <c r="A197" s="17">
        <v>1144201760</v>
      </c>
      <c r="B197" s="18" t="s">
        <v>348</v>
      </c>
      <c r="C197" s="19" t="s">
        <v>96</v>
      </c>
      <c r="D197" s="23" t="s">
        <v>32</v>
      </c>
      <c r="E197" s="20" t="s">
        <v>33</v>
      </c>
    </row>
    <row r="198" spans="1:5">
      <c r="A198" s="21">
        <v>1144211344</v>
      </c>
      <c r="B198" s="14" t="s">
        <v>349</v>
      </c>
      <c r="C198" s="15" t="s">
        <v>50</v>
      </c>
      <c r="D198" s="22" t="s">
        <v>32</v>
      </c>
      <c r="E198" s="16" t="s">
        <v>33</v>
      </c>
    </row>
    <row r="199" spans="1:5">
      <c r="A199" s="17">
        <v>1151948665</v>
      </c>
      <c r="B199" s="18" t="s">
        <v>350</v>
      </c>
      <c r="C199" s="19" t="s">
        <v>324</v>
      </c>
      <c r="D199" s="23" t="s">
        <v>32</v>
      </c>
      <c r="E199" s="20" t="s">
        <v>33</v>
      </c>
    </row>
    <row r="200" spans="1:5">
      <c r="A200" s="21">
        <v>1151957209</v>
      </c>
      <c r="B200" s="14" t="s">
        <v>351</v>
      </c>
      <c r="C200" s="15" t="s">
        <v>184</v>
      </c>
      <c r="D200" s="22" t="s">
        <v>32</v>
      </c>
      <c r="E200" s="16" t="s">
        <v>33</v>
      </c>
    </row>
    <row r="201" spans="1:5">
      <c r="A201" s="17">
        <v>1152192181</v>
      </c>
      <c r="B201" s="18" t="s">
        <v>352</v>
      </c>
      <c r="C201" s="19" t="s">
        <v>35</v>
      </c>
      <c r="D201" s="23" t="s">
        <v>32</v>
      </c>
      <c r="E201" s="20" t="s">
        <v>33</v>
      </c>
    </row>
    <row r="202" spans="1:5">
      <c r="A202" s="21">
        <v>1152194077</v>
      </c>
      <c r="B202" s="14" t="s">
        <v>353</v>
      </c>
      <c r="C202" s="15" t="s">
        <v>354</v>
      </c>
      <c r="D202" s="22" t="s">
        <v>32</v>
      </c>
      <c r="E202" s="16" t="s">
        <v>33</v>
      </c>
    </row>
    <row r="203" spans="1:5">
      <c r="A203" s="17">
        <v>1152210013</v>
      </c>
      <c r="B203" s="18" t="s">
        <v>355</v>
      </c>
      <c r="C203" s="19" t="s">
        <v>193</v>
      </c>
      <c r="D203" s="23" t="s">
        <v>32</v>
      </c>
      <c r="E203" s="20" t="s">
        <v>33</v>
      </c>
    </row>
    <row r="204" spans="1:5">
      <c r="A204" s="21">
        <v>1192893598</v>
      </c>
      <c r="B204" s="14" t="s">
        <v>356</v>
      </c>
      <c r="C204" s="15" t="s">
        <v>357</v>
      </c>
      <c r="D204" s="22" t="s">
        <v>32</v>
      </c>
      <c r="E204" s="16" t="s">
        <v>33</v>
      </c>
    </row>
    <row r="205" spans="1:5">
      <c r="A205" s="17">
        <v>1193236791</v>
      </c>
      <c r="B205" s="18" t="s">
        <v>358</v>
      </c>
      <c r="C205" s="19" t="s">
        <v>184</v>
      </c>
      <c r="D205" s="23" t="s">
        <v>32</v>
      </c>
      <c r="E205" s="20" t="s">
        <v>33</v>
      </c>
    </row>
    <row r="206" spans="1:5">
      <c r="A206" s="21">
        <v>1193416679</v>
      </c>
      <c r="B206" s="14" t="s">
        <v>359</v>
      </c>
      <c r="C206" s="15" t="s">
        <v>144</v>
      </c>
      <c r="D206" s="22" t="s">
        <v>32</v>
      </c>
      <c r="E206" s="16" t="s">
        <v>33</v>
      </c>
    </row>
    <row r="207" spans="1:5">
      <c r="A207" s="17">
        <v>1193543777</v>
      </c>
      <c r="B207" s="18" t="s">
        <v>360</v>
      </c>
      <c r="C207" s="19" t="s">
        <v>361</v>
      </c>
      <c r="D207" s="23" t="s">
        <v>32</v>
      </c>
      <c r="E207" s="20" t="s">
        <v>33</v>
      </c>
    </row>
    <row r="208" spans="1:5">
      <c r="A208" s="21">
        <v>1214714955</v>
      </c>
      <c r="B208" s="14" t="s">
        <v>362</v>
      </c>
      <c r="C208" s="15" t="s">
        <v>133</v>
      </c>
      <c r="D208" s="22" t="s">
        <v>32</v>
      </c>
      <c r="E208" s="16" t="s">
        <v>33</v>
      </c>
    </row>
    <row r="209" spans="1:5">
      <c r="A209" s="24">
        <v>94041597</v>
      </c>
      <c r="B209" s="18" t="s">
        <v>363</v>
      </c>
      <c r="C209" s="19" t="s">
        <v>364</v>
      </c>
      <c r="D209" s="20" t="s">
        <v>32</v>
      </c>
      <c r="E209" s="20" t="s">
        <v>33</v>
      </c>
    </row>
    <row r="210" spans="1:5">
      <c r="A210" s="13">
        <v>1193567495</v>
      </c>
      <c r="B210" s="14" t="s">
        <v>365</v>
      </c>
      <c r="C210" s="15" t="s">
        <v>366</v>
      </c>
      <c r="D210" s="16" t="s">
        <v>32</v>
      </c>
      <c r="E210" s="16" t="s">
        <v>33</v>
      </c>
    </row>
    <row r="211" spans="1:5">
      <c r="A211" s="17">
        <v>1144145806</v>
      </c>
      <c r="B211" s="18" t="s">
        <v>336</v>
      </c>
      <c r="C211" s="19" t="s">
        <v>337</v>
      </c>
      <c r="D211" s="20" t="s">
        <v>32</v>
      </c>
      <c r="E211" s="20" t="s">
        <v>33</v>
      </c>
    </row>
  </sheetData>
  <conditionalFormatting sqref="A2:E208">
    <cfRule type="expression" dxfId="3" priority="3">
      <formula>$E2="RET"</formula>
    </cfRule>
    <cfRule type="expression" dxfId="2" priority="4">
      <formula>$AB2&lt;&gt;""</formula>
    </cfRule>
  </conditionalFormatting>
  <conditionalFormatting sqref="A211:E211">
    <cfRule type="expression" dxfId="1" priority="1">
      <formula>$E211="RET"</formula>
    </cfRule>
    <cfRule type="expression" dxfId="0" priority="2">
      <formula>$AB211&lt;&gt;""</formula>
    </cfRule>
  </conditionalFormatting>
  <dataValidations count="2">
    <dataValidation type="whole" allowBlank="1" showInputMessage="1" showErrorMessage="1" errorTitle="SOLO NÚMEROS" error="SOLO NÚMEROS" sqref="A2:A208 A210:A211" xr:uid="{467B6EDC-2915-4D7B-BCCD-C068E8CC2D69}">
      <formula1>1</formula1>
      <formula2>100000000000000</formula2>
    </dataValidation>
    <dataValidation type="custom" allowBlank="1" showInputMessage="1" showErrorMessage="1" errorTitle="A O RET" error="Solo se permite A o RET" sqref="E2:E208 E210:E211" xr:uid="{705A6C2A-D991-48C6-A235-1C57904DF918}">
      <formula1>OR($E2="A",$E2="RET")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6A79-81E4-400F-91C6-A2AB78D72FE9}">
  <dimension ref="A1:L28"/>
  <sheetViews>
    <sheetView workbookViewId="0">
      <selection activeCell="L5" sqref="L5"/>
    </sheetView>
  </sheetViews>
  <sheetFormatPr baseColWidth="10" defaultRowHeight="15"/>
  <cols>
    <col min="1" max="1" width="15.42578125" bestFit="1" customWidth="1"/>
    <col min="2" max="2" width="90.28515625" bestFit="1" customWidth="1"/>
    <col min="3" max="3" width="65.85546875" bestFit="1" customWidth="1"/>
    <col min="7" max="7" width="24.7109375" bestFit="1" customWidth="1"/>
    <col min="8" max="8" width="11.85546875" bestFit="1" customWidth="1"/>
    <col min="9" max="9" width="43.85546875" bestFit="1" customWidth="1"/>
    <col min="12" max="12" width="16.28515625" bestFit="1" customWidth="1"/>
  </cols>
  <sheetData>
    <row r="1" spans="1:12">
      <c r="A1" s="40" t="s">
        <v>373</v>
      </c>
      <c r="B1" s="39" t="s">
        <v>374</v>
      </c>
      <c r="C1" s="39" t="s">
        <v>375</v>
      </c>
      <c r="D1" s="39" t="s">
        <v>376</v>
      </c>
      <c r="E1" s="39" t="s">
        <v>377</v>
      </c>
      <c r="F1" s="39" t="s">
        <v>378</v>
      </c>
      <c r="G1" s="39" t="s">
        <v>379</v>
      </c>
      <c r="H1" s="41" t="s">
        <v>380</v>
      </c>
      <c r="I1" s="39" t="s">
        <v>381</v>
      </c>
      <c r="J1" s="39" t="s">
        <v>382</v>
      </c>
      <c r="K1" s="42" t="s">
        <v>383</v>
      </c>
      <c r="L1" s="42" t="s">
        <v>384</v>
      </c>
    </row>
    <row r="2" spans="1:12">
      <c r="A2" s="36">
        <v>10025741</v>
      </c>
      <c r="B2" s="35" t="s">
        <v>386</v>
      </c>
      <c r="C2" s="35"/>
      <c r="D2" s="35"/>
      <c r="E2" s="35"/>
      <c r="F2" s="35"/>
      <c r="G2" s="35"/>
      <c r="H2" s="37"/>
      <c r="I2" s="35"/>
      <c r="J2" s="35"/>
      <c r="K2" s="38"/>
      <c r="L2" s="38">
        <v>-51999</v>
      </c>
    </row>
    <row r="3" spans="1:12">
      <c r="A3" s="36">
        <v>67032011</v>
      </c>
      <c r="B3" s="35" t="s">
        <v>387</v>
      </c>
      <c r="C3" s="35"/>
      <c r="D3" s="35"/>
      <c r="E3" s="35"/>
      <c r="F3" s="35"/>
      <c r="G3" s="35"/>
      <c r="H3" s="37"/>
      <c r="I3" s="35"/>
      <c r="J3" s="35"/>
      <c r="K3" s="38"/>
      <c r="L3" s="38">
        <v>-47477</v>
      </c>
    </row>
    <row r="4" spans="1:12">
      <c r="A4" s="36">
        <v>1098757060</v>
      </c>
      <c r="B4" s="35" t="s">
        <v>388</v>
      </c>
      <c r="C4" s="35"/>
      <c r="D4" s="35"/>
      <c r="E4" s="35"/>
      <c r="F4" s="35"/>
      <c r="G4" s="35"/>
      <c r="H4" s="37"/>
      <c r="I4" s="35"/>
      <c r="J4" s="35"/>
      <c r="K4" s="38"/>
      <c r="L4" s="38">
        <v>-19794</v>
      </c>
    </row>
    <row r="5" spans="1:12">
      <c r="A5" s="36">
        <v>94490967</v>
      </c>
      <c r="B5" s="35" t="s">
        <v>389</v>
      </c>
      <c r="C5" s="35"/>
      <c r="D5" s="35"/>
      <c r="E5" s="35"/>
      <c r="F5" s="35"/>
      <c r="G5" s="35"/>
      <c r="H5" s="37"/>
      <c r="I5" s="35"/>
      <c r="J5" s="35"/>
      <c r="K5" s="38"/>
      <c r="L5" s="38">
        <v>-49004</v>
      </c>
    </row>
    <row r="6" spans="1:12">
      <c r="A6" s="36">
        <v>1004343552</v>
      </c>
      <c r="B6" s="35" t="s">
        <v>390</v>
      </c>
      <c r="C6" s="35"/>
      <c r="D6" s="35"/>
      <c r="E6" s="35"/>
      <c r="F6" s="35"/>
      <c r="G6" s="35"/>
      <c r="H6" s="37"/>
      <c r="I6" s="35"/>
      <c r="J6" s="35"/>
      <c r="K6" s="38"/>
      <c r="L6" s="38">
        <v>-14685</v>
      </c>
    </row>
    <row r="7" spans="1:12">
      <c r="A7" s="36">
        <v>1019041186</v>
      </c>
      <c r="B7" s="35" t="s">
        <v>391</v>
      </c>
      <c r="C7" s="35"/>
      <c r="D7" s="35"/>
      <c r="E7" s="35"/>
      <c r="F7" s="35"/>
      <c r="G7" s="35"/>
      <c r="H7" s="37"/>
      <c r="I7" s="35"/>
      <c r="J7" s="35"/>
      <c r="K7" s="38"/>
      <c r="L7" s="38">
        <v>-37467</v>
      </c>
    </row>
    <row r="8" spans="1:12">
      <c r="A8" s="36">
        <v>1143996103</v>
      </c>
      <c r="B8" s="35" t="s">
        <v>392</v>
      </c>
      <c r="C8" s="35"/>
      <c r="D8" s="35"/>
      <c r="E8" s="35"/>
      <c r="F8" s="35"/>
      <c r="G8" s="35"/>
      <c r="H8" s="37"/>
      <c r="I8" s="35"/>
      <c r="J8" s="35"/>
      <c r="K8" s="38"/>
      <c r="L8" s="38">
        <v>-25308</v>
      </c>
    </row>
    <row r="9" spans="1:12">
      <c r="A9" s="36">
        <v>8028607</v>
      </c>
      <c r="B9" s="35" t="s">
        <v>393</v>
      </c>
      <c r="C9" s="35"/>
      <c r="D9" s="35"/>
      <c r="E9" s="35"/>
      <c r="F9" s="35"/>
      <c r="G9" s="35"/>
      <c r="H9" s="37"/>
      <c r="I9" s="35"/>
      <c r="J9" s="35"/>
      <c r="K9" s="38"/>
      <c r="L9" s="38">
        <v>-31753</v>
      </c>
    </row>
    <row r="10" spans="1:12">
      <c r="A10" s="36">
        <v>1144091285</v>
      </c>
      <c r="B10" s="35" t="s">
        <v>394</v>
      </c>
      <c r="C10" s="35"/>
      <c r="D10" s="35"/>
      <c r="E10" s="35"/>
      <c r="F10" s="35"/>
      <c r="G10" s="35"/>
      <c r="H10" s="37"/>
      <c r="I10" s="35"/>
      <c r="J10" s="35"/>
      <c r="K10" s="38"/>
      <c r="L10" s="38">
        <v>-81735</v>
      </c>
    </row>
    <row r="11" spans="1:12">
      <c r="A11" s="36">
        <v>1047463260</v>
      </c>
      <c r="B11" s="35" t="s">
        <v>395</v>
      </c>
      <c r="C11" s="35"/>
      <c r="D11" s="35"/>
      <c r="E11" s="35"/>
      <c r="F11" s="35"/>
      <c r="G11" s="35"/>
      <c r="H11" s="37"/>
      <c r="I11" s="35"/>
      <c r="J11" s="35"/>
      <c r="K11" s="38"/>
      <c r="L11" s="38">
        <v>-23335</v>
      </c>
    </row>
    <row r="12" spans="1:12">
      <c r="A12" s="36">
        <v>16287985</v>
      </c>
      <c r="B12" s="35" t="s">
        <v>396</v>
      </c>
      <c r="C12" s="35"/>
      <c r="D12" s="35"/>
      <c r="E12" s="35"/>
      <c r="F12" s="35"/>
      <c r="G12" s="35"/>
      <c r="H12" s="37"/>
      <c r="I12" s="35"/>
      <c r="J12" s="35"/>
      <c r="K12" s="38"/>
      <c r="L12" s="38">
        <v>-41591</v>
      </c>
    </row>
    <row r="13" spans="1:12">
      <c r="A13" s="36">
        <v>94384810</v>
      </c>
      <c r="B13" s="35" t="s">
        <v>397</v>
      </c>
      <c r="C13" s="35"/>
      <c r="D13" s="35"/>
      <c r="E13" s="35"/>
      <c r="F13" s="35"/>
      <c r="G13" s="35"/>
      <c r="H13" s="37"/>
      <c r="I13" s="35"/>
      <c r="J13" s="35"/>
      <c r="K13" s="38"/>
      <c r="L13" s="38">
        <v>-41591</v>
      </c>
    </row>
    <row r="14" spans="1:12">
      <c r="A14" s="36">
        <v>16765038</v>
      </c>
      <c r="B14" s="35" t="s">
        <v>398</v>
      </c>
      <c r="C14" s="35"/>
      <c r="D14" s="35"/>
      <c r="E14" s="35"/>
      <c r="F14" s="35"/>
      <c r="G14" s="35"/>
      <c r="H14" s="37"/>
      <c r="I14" s="35"/>
      <c r="J14" s="35"/>
      <c r="K14" s="38"/>
      <c r="L14" s="38">
        <v>-44825</v>
      </c>
    </row>
    <row r="15" spans="1:12">
      <c r="A15" s="36">
        <v>1045744953</v>
      </c>
      <c r="B15" s="35" t="s">
        <v>399</v>
      </c>
      <c r="C15" s="35"/>
      <c r="D15" s="35"/>
      <c r="E15" s="35"/>
      <c r="F15" s="35"/>
      <c r="G15" s="35"/>
      <c r="H15" s="37"/>
      <c r="I15" s="35"/>
      <c r="J15" s="35"/>
      <c r="K15" s="38"/>
      <c r="L15" s="38">
        <v>-20925</v>
      </c>
    </row>
    <row r="16" spans="1:12">
      <c r="A16" s="36">
        <v>1143828516</v>
      </c>
      <c r="B16" s="35" t="s">
        <v>400</v>
      </c>
      <c r="C16" s="35"/>
      <c r="D16" s="35"/>
      <c r="E16" s="35"/>
      <c r="F16" s="35"/>
      <c r="G16" s="35"/>
      <c r="H16" s="37"/>
      <c r="I16" s="35"/>
      <c r="J16" s="35"/>
      <c r="K16" s="38"/>
      <c r="L16" s="38">
        <v>-43492</v>
      </c>
    </row>
    <row r="17" spans="1:12">
      <c r="A17" s="36">
        <v>1143840049</v>
      </c>
      <c r="B17" s="35" t="s">
        <v>401</v>
      </c>
      <c r="C17" s="35"/>
      <c r="D17" s="35"/>
      <c r="E17" s="35"/>
      <c r="F17" s="35"/>
      <c r="G17" s="35"/>
      <c r="H17" s="37"/>
      <c r="I17" s="35"/>
      <c r="J17" s="35"/>
      <c r="K17" s="38"/>
      <c r="L17" s="38">
        <v>-118726</v>
      </c>
    </row>
    <row r="18" spans="1:12">
      <c r="A18" s="36">
        <v>1144195582</v>
      </c>
      <c r="B18" s="35" t="s">
        <v>402</v>
      </c>
      <c r="C18" s="35"/>
      <c r="D18" s="35"/>
      <c r="E18" s="35"/>
      <c r="F18" s="35"/>
      <c r="G18" s="35"/>
      <c r="H18" s="37"/>
      <c r="I18" s="35"/>
      <c r="J18" s="35"/>
      <c r="K18" s="38"/>
      <c r="L18" s="38">
        <v>-36206</v>
      </c>
    </row>
    <row r="19" spans="1:12">
      <c r="A19" s="36">
        <v>1101684849</v>
      </c>
      <c r="B19" s="35" t="s">
        <v>403</v>
      </c>
      <c r="C19" s="35"/>
      <c r="D19" s="35"/>
      <c r="E19" s="35"/>
      <c r="F19" s="35"/>
      <c r="G19" s="35"/>
      <c r="H19" s="37"/>
      <c r="I19" s="35"/>
      <c r="J19" s="35"/>
      <c r="K19" s="38"/>
      <c r="L19" s="38">
        <v>-25068</v>
      </c>
    </row>
    <row r="20" spans="1:12">
      <c r="A20" s="36">
        <v>16726060</v>
      </c>
      <c r="B20" s="35" t="s">
        <v>404</v>
      </c>
      <c r="C20" s="35"/>
      <c r="D20" s="35"/>
      <c r="E20" s="35"/>
      <c r="F20" s="35"/>
      <c r="G20" s="35"/>
      <c r="H20" s="37"/>
      <c r="I20" s="35"/>
      <c r="J20" s="35"/>
      <c r="K20" s="38"/>
      <c r="L20" s="38">
        <v>-41591</v>
      </c>
    </row>
    <row r="21" spans="1:12">
      <c r="A21" s="36">
        <v>94412591</v>
      </c>
      <c r="B21" s="35" t="s">
        <v>405</v>
      </c>
      <c r="C21" s="35"/>
      <c r="D21" s="35"/>
      <c r="E21" s="35"/>
      <c r="F21" s="35"/>
      <c r="G21" s="35"/>
      <c r="H21" s="37"/>
      <c r="I21" s="35"/>
      <c r="J21" s="35"/>
      <c r="K21" s="38"/>
      <c r="L21" s="38">
        <v>-41591</v>
      </c>
    </row>
    <row r="22" spans="1:12">
      <c r="A22" s="36">
        <v>1024528225</v>
      </c>
      <c r="B22" s="35" t="s">
        <v>406</v>
      </c>
      <c r="C22" s="35"/>
      <c r="D22" s="35"/>
      <c r="E22" s="35"/>
      <c r="F22" s="35"/>
      <c r="G22" s="35"/>
      <c r="H22" s="37"/>
      <c r="I22" s="35"/>
      <c r="J22" s="35"/>
      <c r="K22" s="38"/>
      <c r="L22" s="38">
        <v>-22075</v>
      </c>
    </row>
    <row r="23" spans="1:12">
      <c r="A23" s="36">
        <v>1144213479</v>
      </c>
      <c r="B23" s="35" t="s">
        <v>407</v>
      </c>
      <c r="C23" s="35"/>
      <c r="D23" s="35"/>
      <c r="E23" s="35"/>
      <c r="F23" s="35"/>
      <c r="G23" s="35"/>
      <c r="H23" s="37"/>
      <c r="I23" s="35"/>
      <c r="J23" s="35"/>
      <c r="K23" s="38"/>
      <c r="L23" s="38">
        <v>-16364</v>
      </c>
    </row>
    <row r="24" spans="1:12">
      <c r="A24" s="36">
        <v>31977462</v>
      </c>
      <c r="B24" s="35" t="s">
        <v>408</v>
      </c>
      <c r="C24" s="35"/>
      <c r="D24" s="35"/>
      <c r="E24" s="35"/>
      <c r="F24" s="35"/>
      <c r="G24" s="35"/>
      <c r="H24" s="37"/>
      <c r="I24" s="35"/>
      <c r="J24" s="35"/>
      <c r="K24" s="38"/>
      <c r="L24" s="38">
        <v>-45753</v>
      </c>
    </row>
    <row r="25" spans="1:12">
      <c r="A25" s="36">
        <v>94362404</v>
      </c>
      <c r="B25" s="35" t="s">
        <v>409</v>
      </c>
      <c r="C25" s="35"/>
      <c r="D25" s="35"/>
      <c r="E25" s="35"/>
      <c r="F25" s="35"/>
      <c r="G25" s="35"/>
      <c r="H25" s="37"/>
      <c r="I25" s="35"/>
      <c r="J25" s="35"/>
      <c r="K25" s="38"/>
      <c r="L25" s="38">
        <v>-61285</v>
      </c>
    </row>
    <row r="26" spans="1:12">
      <c r="A26" s="36">
        <v>94533395</v>
      </c>
      <c r="B26" s="35" t="s">
        <v>410</v>
      </c>
      <c r="C26" s="35"/>
      <c r="D26" s="35"/>
      <c r="E26" s="35"/>
      <c r="F26" s="35"/>
      <c r="G26" s="35"/>
      <c r="H26" s="37"/>
      <c r="I26" s="35"/>
      <c r="J26" s="35"/>
      <c r="K26" s="38"/>
      <c r="L26" s="38">
        <v>-142009</v>
      </c>
    </row>
    <row r="27" spans="1:12">
      <c r="A27" s="36">
        <v>38561178</v>
      </c>
      <c r="B27" s="35" t="s">
        <v>411</v>
      </c>
      <c r="C27" s="35"/>
      <c r="D27" s="35"/>
      <c r="E27" s="35"/>
      <c r="F27" s="35"/>
      <c r="G27" s="35"/>
      <c r="H27" s="37"/>
      <c r="I27" s="35"/>
      <c r="J27" s="35"/>
      <c r="K27" s="38"/>
      <c r="L27" s="38">
        <v>-51154</v>
      </c>
    </row>
    <row r="28" spans="1:12">
      <c r="A28" s="36">
        <v>94552929</v>
      </c>
      <c r="B28" s="35" t="s">
        <v>412</v>
      </c>
      <c r="C28" s="35"/>
      <c r="D28" s="35"/>
      <c r="E28" s="35"/>
      <c r="F28" s="35"/>
      <c r="G28" s="35"/>
      <c r="H28" s="37"/>
      <c r="I28" s="35"/>
      <c r="J28" s="35"/>
      <c r="K28" s="38"/>
      <c r="L28" s="38">
        <v>-238943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Hoja3</vt:lpstr>
      <vt:lpstr>POLIZA</vt:lpstr>
      <vt:lpstr>Hoja1</vt:lpstr>
      <vt:lpstr>Hoja2</vt:lpstr>
      <vt:lpstr>POLIZA!Área_de_impresión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Mejoramiento Continuo</dc:creator>
  <cp:lastModifiedBy>Analista de Nomina 2</cp:lastModifiedBy>
  <cp:lastPrinted>2025-01-17T18:06:06Z</cp:lastPrinted>
  <dcterms:created xsi:type="dcterms:W3CDTF">2024-06-19T14:21:21Z</dcterms:created>
  <dcterms:modified xsi:type="dcterms:W3CDTF">2026-02-27T16:30:58Z</dcterms:modified>
</cp:coreProperties>
</file>