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ejoramiento2\Documents\PORTAL\Gestor-de-proyectos-Ti\docs\references\"/>
    </mc:Choice>
  </mc:AlternateContent>
  <xr:revisionPtr revIDLastSave="0" documentId="13_ncr:1_{F3E28445-456A-438D-BFBB-543AC18A691B}" xr6:coauthVersionLast="47" xr6:coauthVersionMax="47" xr10:uidLastSave="{00000000-0000-0000-0000-000000000000}"/>
  <bookViews>
    <workbookView xWindow="-28920" yWindow="-120" windowWidth="29040" windowHeight="15720" xr2:uid="{D0CBC611-1B24-4AD1-93F4-5F7A1B94712C}"/>
  </bookViews>
  <sheets>
    <sheet name="V11" sheetId="3" r:id="rId1"/>
    <sheet name="RESPUESTA FORMULARIO" sheetId="4" r:id="rId2"/>
  </sheets>
  <definedNames>
    <definedName name="_xlpm.adm" hidden="1" xlm="1">#NAME?</definedName>
    <definedName name="_xlpm.adn" hidden="1" xlm="1">#NAME?</definedName>
    <definedName name="_xlpm.com" hidden="1" xlm="1">#NAME?</definedName>
    <definedName name="_xlpm.ope" hidden="1" xlm="1">#NAME?</definedName>
    <definedName name="_xlpm.pdn" hidden="1" xlm="1">#NAME?</definedName>
    <definedName name="_xlpm.pry" hidden="1" xlm="1">#NAME?</definedName>
    <definedName name="_xlpm.rad" hidden="1" xlm="1">#NAME?</definedName>
    <definedName name="_xlpm.yak" hidden="1" xlm="1">#NAME?</definedName>
    <definedName name="AÑO">'V11'!$I$9</definedName>
    <definedName name="AÑO_INGRESO">'V11'!$Z$14</definedName>
    <definedName name="AREA_ADM">'V11'!$S$16</definedName>
    <definedName name="AREA_ADN">'V11'!$T$16</definedName>
    <definedName name="AREA_COM">'V11'!$U$16</definedName>
    <definedName name="_xlnm.Print_Area" localSheetId="0">'V11'!$A$1:$AA$48</definedName>
    <definedName name="AREA_PRD">'V11'!$W$16</definedName>
    <definedName name="AREA_PRY">'V11'!$Y$16</definedName>
    <definedName name="AREA_YAK">'V11'!$Z$16</definedName>
    <definedName name="AUX_ALIMENTACION">'V11'!$L$42</definedName>
    <definedName name="AUX_MOVILIZACION">'V11'!$F$42</definedName>
    <definedName name="AUX_VIVIENDA">'V11'!$R$42</definedName>
    <definedName name="CANTIDAD_PERSONAS">'V11'!$F$13</definedName>
    <definedName name="CARGO">'V11'!$F$12</definedName>
    <definedName name="CAUSAL_EXPLICA">'V11'!$N$23</definedName>
    <definedName name="CAUSAL_INCREMENTO">'V11'!$R$20</definedName>
    <definedName name="CAUSAL_NUEVO_CARGO">'V11'!$H$20</definedName>
    <definedName name="CAUSAL_OTRO">'V11'!$H$23</definedName>
    <definedName name="CAUSAL_REEMPLAZO_INCAP_ARL">'V11'!$Y$20</definedName>
    <definedName name="CAUSAL_REEMPLAZO_INCAP_EPS">'V11'!$Y$21</definedName>
    <definedName name="CAUSAL_REEMPLAZO_MATERNIDAD">'V11'!$R$21</definedName>
    <definedName name="CAUSAL_REEMPLAZO_RETIRO">'V11'!$H$21</definedName>
    <definedName name="CAUSAL_REEMPLAZO_VACACIONES">'V11'!$R$22</definedName>
    <definedName name="CAUSAL_TERMINACION">'V11'!$H$22</definedName>
    <definedName name="CENTRO_COSTO">'V11'!$P$16</definedName>
    <definedName name="CIUDAD">'V11'!$O$9</definedName>
    <definedName name="CONSECUTIVO">'V11'!$R$3</definedName>
    <definedName name="CONTRATO_AÑO">'V11'!$Z$37</definedName>
    <definedName name="CONTRATO_APRENDIZ">'V11'!$Q$39</definedName>
    <definedName name="CONTRATO_DIRECTO">'V11'!$Q$37</definedName>
    <definedName name="CONTRATO_INDEFINIDO">'V11'!$Z$39</definedName>
    <definedName name="CONTRATO_OBRA">'V11'!$Z$38</definedName>
    <definedName name="CONTRATO_TEMPORAL">'V11'!$Q$38</definedName>
    <definedName name="DatosExternos_1" localSheetId="1" hidden="1">'RESPUESTA FORMULARIO'!$A$1:$AX$31</definedName>
    <definedName name="DIA">'V11'!$F$9</definedName>
    <definedName name="DIA_INGRESO">'V11'!$V$14</definedName>
    <definedName name="DIRECCION_OBRA">'V11'!$S$11</definedName>
    <definedName name="DURACION_CONTRATO">'V11'!$Q$14</definedName>
    <definedName name="ENCARGADO">'V11'!$S$12</definedName>
    <definedName name="EXTRAS_NO">'V11'!$H$39</definedName>
    <definedName name="EXTRAS_SI">'V11'!$E$39</definedName>
    <definedName name="LINEA_SIMCARD">'V11'!$F$31</definedName>
    <definedName name="MES">'V11'!$H$9</definedName>
    <definedName name="MES_INGRESO">'V11'!$X$14</definedName>
    <definedName name="NO_APLICA">'V11'!$K$14</definedName>
    <definedName name="NOMBRE_OBRA">'V11'!$T$9</definedName>
    <definedName name="NOMBRE_SOLICITANTE">'V11'!$F$11</definedName>
    <definedName name="OFICINA_ARCHIVADOR">'V11'!$T$27</definedName>
    <definedName name="OFICINA_ESCRITORIO">'V11'!$F$27</definedName>
    <definedName name="OFICINA_LOCKER">'V11'!$J$27</definedName>
    <definedName name="OFICINA_MODULO">'V11'!$W$27</definedName>
    <definedName name="OFICINA_SILLA">'V11'!$P$27</definedName>
    <definedName name="OT">'V11'!$Q$9</definedName>
    <definedName name="PERFIL_O">'V11'!$C$17</definedName>
    <definedName name="PLAN_ALTO">'V11'!$V$30</definedName>
    <definedName name="PLAN_BASICO">'V11'!$O$30</definedName>
    <definedName name="PLAN_MEDIO">'V11'!$S$30</definedName>
    <definedName name="PROGRAMAS_CUALES">'V11'!$O$32</definedName>
    <definedName name="PROGRAMAS_ESPECIALES">'V11'!$F$33</definedName>
    <definedName name="SALARIO_ASIGNADO">'V11'!$D$37</definedName>
    <definedName name="SI_APLICA">'V11'!$I$14</definedName>
    <definedName name="TECNOLO_CORREO">'V11'!$P$29</definedName>
    <definedName name="TECNOLO_DESKTOP">'V11'!$F$29</definedName>
    <definedName name="TECNOLO_EXT">'V11'!$W$29</definedName>
    <definedName name="TECNOLO_PORTATIL">'V11'!$J$29</definedName>
    <definedName name="TECNOLO_RED">'V11'!$T$29</definedName>
    <definedName name="TOTAL_AUX">'V11'!$W$42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2" i="3" l="1"/>
  <c r="F12" i="3"/>
  <c r="U16" i="3" l="1"/>
  <c r="T9" i="3"/>
  <c r="S11" i="3"/>
  <c r="S12" i="3"/>
  <c r="C17" i="3"/>
  <c r="F11" i="3"/>
  <c r="R42" i="3"/>
  <c r="L42" i="3"/>
  <c r="F42" i="3"/>
  <c r="Z39" i="3"/>
  <c r="Q39" i="3"/>
  <c r="H39" i="3"/>
  <c r="E39" i="3"/>
  <c r="Z38" i="3"/>
  <c r="Q38" i="3"/>
  <c r="Z37" i="3"/>
  <c r="Q37" i="3"/>
  <c r="D37" i="3"/>
  <c r="F33" i="3"/>
  <c r="F31" i="3"/>
  <c r="V30" i="3"/>
  <c r="S30" i="3"/>
  <c r="O30" i="3"/>
  <c r="W29" i="3"/>
  <c r="T29" i="3"/>
  <c r="P29" i="3"/>
  <c r="J29" i="3"/>
  <c r="F29" i="3"/>
  <c r="W27" i="3"/>
  <c r="T27" i="3"/>
  <c r="P27" i="3"/>
  <c r="J27" i="3"/>
  <c r="F27" i="3"/>
  <c r="H23" i="3"/>
  <c r="N23" i="3" s="1"/>
  <c r="R22" i="3"/>
  <c r="H22" i="3"/>
  <c r="Y21" i="3"/>
  <c r="R21" i="3"/>
  <c r="H21" i="3"/>
  <c r="Y20" i="3"/>
  <c r="R20" i="3"/>
  <c r="H20" i="3"/>
  <c r="Z16" i="3"/>
  <c r="Y16" i="3"/>
  <c r="W16" i="3"/>
  <c r="T16" i="3"/>
  <c r="S16" i="3"/>
  <c r="P16" i="3"/>
  <c r="Z14" i="3"/>
  <c r="X14" i="3"/>
  <c r="V14" i="3"/>
  <c r="Q14" i="3"/>
  <c r="K14" i="3"/>
  <c r="I14" i="3"/>
  <c r="F13" i="3"/>
  <c r="Q9" i="3"/>
  <c r="O9" i="3"/>
  <c r="I9" i="3"/>
  <c r="H9" i="3"/>
  <c r="F9" i="3"/>
  <c r="W4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4F6F18-3E10-41AE-B858-E47D49647C00}" keepAlive="1" name="Consulta - RESPUESTA_RP" description="Conexión a la consulta 'RESPUESTA_RP' en el libro." type="5" refreshedVersion="8" background="1" saveData="1">
    <dbPr connection="Provider=Microsoft.Mashup.OleDb.1;Data Source=$Workbook$;Location=RESPUESTA_RP;Extended Properties=&quot;&quot;" command="SELECT * FROM [RESPUESTA_RP]"/>
  </connection>
</connections>
</file>

<file path=xl/sharedStrings.xml><?xml version="1.0" encoding="utf-8"?>
<sst xmlns="http://schemas.openxmlformats.org/spreadsheetml/2006/main" count="1196" uniqueCount="281">
  <si>
    <t>FECHA DE RADICACIÓN</t>
  </si>
  <si>
    <t>CIUDAD</t>
  </si>
  <si>
    <t>OT</t>
  </si>
  <si>
    <t>NOMBRE OBRA / PROYECTO</t>
  </si>
  <si>
    <t>NOMBRE DEL SOLICITANTE</t>
  </si>
  <si>
    <t>DIRECCIÓN DE OBRA O PROYECTO</t>
  </si>
  <si>
    <t>ENCARGADO EN SITIO</t>
  </si>
  <si>
    <t>NÚMERO DE PERSONAS REQUERIDAS PARA EL CARGO</t>
  </si>
  <si>
    <t>TSA</t>
  </si>
  <si>
    <t>DURACIÓN OBRA O CONTRATO</t>
  </si>
  <si>
    <t>FECHA PROBABLE INGRESO</t>
  </si>
  <si>
    <t>CENTRO DE COSTO</t>
  </si>
  <si>
    <t>PERFIL "O"</t>
  </si>
  <si>
    <t>AREA</t>
  </si>
  <si>
    <t>NOMBRE DEL CARGO SOLICITADO ADM</t>
  </si>
  <si>
    <t>NOMBRE DEL CARGO SOLICITADO COM</t>
  </si>
  <si>
    <t>NOMBRE DEL CARGO SOLICITADO YAK</t>
  </si>
  <si>
    <t>NOMBRE DEL CARGO SOLICITADO ADN</t>
  </si>
  <si>
    <t>POR FAVOR INDIQUE LA CAUSAL DE LA REQUISICIÓN</t>
  </si>
  <si>
    <t>POR FAVOR EXPLIQUE QUE OTRA RAZÓN ES LA CAUSAL DE LA REQUISICIÓN</t>
  </si>
  <si>
    <t>NECESITA EQUIPOS DE OFICINA</t>
  </si>
  <si>
    <t>POR FAVOR SELECCIONE CUALES EQUIPOS DE OFICINA REQUIERE EL NUEVO COLABORADOR</t>
  </si>
  <si>
    <t>NECESITA EQUIPOS TECNOLÓGICOS</t>
  </si>
  <si>
    <t>POR FAVOR SELECCIONE CUALES  EQUIPOS TECNOLÓGICOS REQUIERE EL NUEVO COLABORADOR</t>
  </si>
  <si>
    <t>REQUIERE LINEA TELEFÓNICA</t>
  </si>
  <si>
    <t>REQUIERE SIMCARD</t>
  </si>
  <si>
    <t>SELECCIONE EL TIPO DE PLAN NECESITADO</t>
  </si>
  <si>
    <t>SALARIO ASIGNADO</t>
  </si>
  <si>
    <t>HORAS EXTRAS</t>
  </si>
  <si>
    <t>MODALIDAD DE CONTRATACIÓN</t>
  </si>
  <si>
    <t>TIPO DE CONTRATACIÓN</t>
  </si>
  <si>
    <t>AUXILIO MOVILIZACIÓN</t>
  </si>
  <si>
    <t>AUXILIO ALIMENTACIÓN</t>
  </si>
  <si>
    <t>AUXILIO VIVIENDA</t>
  </si>
  <si>
    <t>APLICA</t>
  </si>
  <si>
    <t/>
  </si>
  <si>
    <t>SI</t>
  </si>
  <si>
    <t>NO</t>
  </si>
  <si>
    <t>DIRECTO POR REFRIDCOL</t>
  </si>
  <si>
    <t>REQUISICIÓN DE PERSONAL</t>
  </si>
  <si>
    <t>No.</t>
  </si>
  <si>
    <t>CÓDIGO</t>
  </si>
  <si>
    <t>FT-GH-16</t>
  </si>
  <si>
    <t xml:space="preserve">FECHA </t>
  </si>
  <si>
    <t>VERSIÓN</t>
  </si>
  <si>
    <t>DD</t>
  </si>
  <si>
    <t>MMM</t>
  </si>
  <si>
    <t>AA</t>
  </si>
  <si>
    <t>OT:</t>
  </si>
  <si>
    <t>NOMBRE OBRA /PROYECTO</t>
  </si>
  <si>
    <t>NOMBRE CARGO SOLICITADO*</t>
  </si>
  <si>
    <t>TSA
(X)</t>
  </si>
  <si>
    <t>NO APLICA</t>
  </si>
  <si>
    <t>MM</t>
  </si>
  <si>
    <t>ADM</t>
  </si>
  <si>
    <t>COM</t>
  </si>
  <si>
    <t>YAK</t>
  </si>
  <si>
    <t>ADN</t>
  </si>
  <si>
    <t>* Si es estudiante en práctica indique de qué carrera y el proyecto a desarrollar. Si es aprendíz del SENA indique la especialidad</t>
  </si>
  <si>
    <t>ÁREA</t>
  </si>
  <si>
    <t>CAUSAL DE LA REQUISICIÓN (X)</t>
  </si>
  <si>
    <t>CREACIÓN DE UN NUEVO CARGO</t>
  </si>
  <si>
    <t>INCREMENTO OBRA /LABOR</t>
  </si>
  <si>
    <t>REEMPLAZO POR INCAPACIDAD ARL</t>
  </si>
  <si>
    <t>REEMPLAZO POR RETIRO VOLUNTARIO</t>
  </si>
  <si>
    <t>REEMPLAZO POR MATERNIDAD</t>
  </si>
  <si>
    <t>REEMPLAZO POR INCAPACIDAD EPS</t>
  </si>
  <si>
    <t>TERMINACIÓN DEL CONTRATO</t>
  </si>
  <si>
    <t>REEMPLAZO POR VACACIONES</t>
  </si>
  <si>
    <t xml:space="preserve">OTRO </t>
  </si>
  <si>
    <t xml:space="preserve"> EXPLIQUE:</t>
  </si>
  <si>
    <t>REQUISITOS GENERALES AL NUEVO COLABORADOR</t>
  </si>
  <si>
    <t>EQUIPOS DE OFICINA 
(SI/NO)</t>
  </si>
  <si>
    <t>ESCRITORIO</t>
  </si>
  <si>
    <t>LOCKER</t>
  </si>
  <si>
    <t>SILLA</t>
  </si>
  <si>
    <t>ARCHIVADOR</t>
  </si>
  <si>
    <t>MÓDULO/OFICINA</t>
  </si>
  <si>
    <t>EQUIPOS TECNOLÓGICOS 
(SI/NO)</t>
  </si>
  <si>
    <t>EQ. CÓMPUTO DESKTOP</t>
  </si>
  <si>
    <t>EQ. CÓMPUTO PORTÁTIL</t>
  </si>
  <si>
    <t>CORREO CORPORATIVO</t>
  </si>
  <si>
    <t>USUARIO DE RED</t>
  </si>
  <si>
    <t>EXT.: PANTALLA, MOUSE, TECLADO</t>
  </si>
  <si>
    <t xml:space="preserve">SIMCARD </t>
  </si>
  <si>
    <t>Plan Básico</t>
  </si>
  <si>
    <t>Plan Medio</t>
  </si>
  <si>
    <t>Plan Alto</t>
  </si>
  <si>
    <t>BÁSICO</t>
  </si>
  <si>
    <t>AGENCIA TEMPORAL</t>
  </si>
  <si>
    <t>CONTRATO OBRA LABOR</t>
  </si>
  <si>
    <t xml:space="preserve">SI </t>
  </si>
  <si>
    <t xml:space="preserve">NO </t>
  </si>
  <si>
    <t>APRENDIZ CONVENIO SENA</t>
  </si>
  <si>
    <t>AUXILIOS NO CONSTITUTIVOS DE SALARIO:</t>
  </si>
  <si>
    <t>MOVILIZACIÓN</t>
  </si>
  <si>
    <t>ALIMENTACIÓN</t>
  </si>
  <si>
    <t>VIVIENDA</t>
  </si>
  <si>
    <t>TOTAL AUXILIOS</t>
  </si>
  <si>
    <t>EVAL</t>
  </si>
  <si>
    <t>FIJO</t>
  </si>
  <si>
    <t>FIRMA SOLICITANTE</t>
  </si>
  <si>
    <t>FIRMA DIRECTOR Y/O GERENTE DE ÁREA</t>
  </si>
  <si>
    <t>FIRMA GESTIÓN HUMANA</t>
  </si>
  <si>
    <t>DIA</t>
  </si>
  <si>
    <t>MES</t>
  </si>
  <si>
    <t>AÑO</t>
  </si>
  <si>
    <t>DIA POSIBLE INGRESO</t>
  </si>
  <si>
    <t>MES POSIBLE INGRESO</t>
  </si>
  <si>
    <t>AÑO POSIBLE INGRESO</t>
  </si>
  <si>
    <t>LINEA TELEFÓNICA 
(SI/NO)</t>
  </si>
  <si>
    <t>CONDICIONES DE CONTRATACIÓN</t>
  </si>
  <si>
    <t>CONTRATO INFERIOR A 1 AÑO</t>
  </si>
  <si>
    <t>2 MESES</t>
  </si>
  <si>
    <t>ADMINISTRACIÓN</t>
  </si>
  <si>
    <t>PRY</t>
  </si>
  <si>
    <t>PRD</t>
  </si>
  <si>
    <t>NOMBRE DEL CARGO SOLICITADO PRY</t>
  </si>
  <si>
    <t>MAS DE 2 MESES</t>
  </si>
  <si>
    <t>PROGRAMAS ESPECIALES 
(SI/NO)</t>
  </si>
  <si>
    <t>PROGRAMAS ESPECIALES</t>
  </si>
  <si>
    <t>Cuales:</t>
  </si>
  <si>
    <t>NOMBRE DEL CARGO SOLICITADO PRD</t>
  </si>
  <si>
    <t>REQUIERE PROGRAMAS ESPECIALES</t>
  </si>
  <si>
    <t>INDIQUE LOS PROGRAMAS ESPECIALES QUE REQUIERE:</t>
  </si>
  <si>
    <t>CONSECUTIVO</t>
  </si>
  <si>
    <t>¿Que desea registrar?</t>
  </si>
  <si>
    <t>¡Por favor adjunte la requisición con la firma de autorización como soporte!</t>
  </si>
  <si>
    <t xml:space="preserve">Selecciona el radicado </t>
  </si>
  <si>
    <t>Nueva Requisición</t>
  </si>
  <si>
    <t>CONTRATO FIJO INFERIOR A 1 AÑO</t>
  </si>
  <si>
    <t>CALI</t>
  </si>
  <si>
    <t>PROYECTOS</t>
  </si>
  <si>
    <t>CENTRO COSTO</t>
  </si>
  <si>
    <t>CONTRATO INDEFINIDO</t>
  </si>
  <si>
    <t>Column1</t>
  </si>
  <si>
    <t>EQUIPO DE DE CÓMPUTO PORTÁTIL</t>
  </si>
  <si>
    <t>YUMBO</t>
  </si>
  <si>
    <t>Técnico electricista</t>
  </si>
  <si>
    <t>OTRO</t>
  </si>
  <si>
    <t>INCREMENTO OBRA / LABOR</t>
  </si>
  <si>
    <t>EQUIPO DE DE CÓMPUTO PORTÁTIL, CORREO CORPORATIVO, USUARIO DE RED, EXT: PANTALLA, MOUSE, TECLADO</t>
  </si>
  <si>
    <t>N/A</t>
  </si>
  <si>
    <t>COMERCIAL</t>
  </si>
  <si>
    <t>Dibujante comercial</t>
  </si>
  <si>
    <t>PLAN ALTO</t>
  </si>
  <si>
    <t>PRODUCCIÓN</t>
  </si>
  <si>
    <t>PLAN BÁSICO</t>
  </si>
  <si>
    <t>Columna 44</t>
  </si>
  <si>
    <t>CAMILO TORRES</t>
  </si>
  <si>
    <t>CALLA 11 A # 37-26</t>
  </si>
  <si>
    <t>Director U.E.N</t>
  </si>
  <si>
    <t>ESCRITORIO, SILLA, MÓDULO / OFICINA</t>
  </si>
  <si>
    <t>EQUIPO DE DE CÓMPUTO PORTÁTIL, CORREO CORPORATIVO, EXT: PANTALLA, MOUSE, TECLADO</t>
  </si>
  <si>
    <t>https://drive.google.com/open?id=1sy_E0Nd-SoLavkhooPIa8E7C4eO6dti9</t>
  </si>
  <si>
    <t>BOGOTÁ</t>
  </si>
  <si>
    <t>OFICINA BOGOTÁ</t>
  </si>
  <si>
    <t>JOHN JAIRO ESCOBAR</t>
  </si>
  <si>
    <t>ALEJANDRO LARA</t>
  </si>
  <si>
    <t>Asesor de venta consultiva</t>
  </si>
  <si>
    <t>ESCRITORIO, SILLA</t>
  </si>
  <si>
    <t>https://drive.google.com/open?id=1V0cqndMehJxMu9eHVyGFld6eyHZRr0F9</t>
  </si>
  <si>
    <t>PLANTA</t>
  </si>
  <si>
    <t xml:space="preserve">EIMAR BECERRA </t>
  </si>
  <si>
    <t>Calle 11 A # 37-26</t>
  </si>
  <si>
    <t>Operario de Mantenimiento</t>
  </si>
  <si>
    <t>https://drive.google.com/open?id=15dAmTRmSIADpImsSJBmW35Fa51yHgPhf</t>
  </si>
  <si>
    <t xml:space="preserve">REFRIDCOL </t>
  </si>
  <si>
    <t xml:space="preserve">PEDRO RODRIGUEZ </t>
  </si>
  <si>
    <t>Calle 11 A # 37*26</t>
  </si>
  <si>
    <t>Conductor-mensajero</t>
  </si>
  <si>
    <t>https://drive.google.com/open?id=1fNp43WM7Jtghr9Dl8PRhb5FjW0FeNaFP</t>
  </si>
  <si>
    <t>GINEBRA</t>
  </si>
  <si>
    <t>22512</t>
  </si>
  <si>
    <t xml:space="preserve">Santipollo </t>
  </si>
  <si>
    <t xml:space="preserve">EDWAR GIL </t>
  </si>
  <si>
    <t>Planta de preocesamiento santipollo ginebra</t>
  </si>
  <si>
    <t>Ayudante de armado</t>
  </si>
  <si>
    <t>https://drive.google.com/open?id=1hNfV2ShHiljNVJevhUsiCmMzsQroDNaW</t>
  </si>
  <si>
    <t>Santipollo</t>
  </si>
  <si>
    <t>Planta de procesamiento santipollo Ginebra</t>
  </si>
  <si>
    <t>Supervisor SISO proyectos</t>
  </si>
  <si>
    <t>https://drive.google.com/open?id=1QPGYs2oIZlxqn_KnBnNWWQ47Q7QV_49R</t>
  </si>
  <si>
    <t>REFRIDCOL</t>
  </si>
  <si>
    <t>Vivian castrillon</t>
  </si>
  <si>
    <t>Calle 11A # 37-26</t>
  </si>
  <si>
    <t>Reemplazo por cambio de cargo</t>
  </si>
  <si>
    <t>ESCRITORIO, SILLA, ARCHIVADOR, MÓDULO / OFICINA</t>
  </si>
  <si>
    <t>EQUIPO DE DE CÓMPUTO PORTÁTIL, EXT: PANTALLA, MOUSE, TECLADO</t>
  </si>
  <si>
    <t>https://drive.google.com/open?id=1sEv0L708yUMFG8ogbpBGk6mdc-JzOADV</t>
  </si>
  <si>
    <t>CALDAS</t>
  </si>
  <si>
    <t>22542</t>
  </si>
  <si>
    <t xml:space="preserve">CARGIL </t>
  </si>
  <si>
    <t>CESAR CERON</t>
  </si>
  <si>
    <t xml:space="preserve">Centro logistico la tolva bod 8 y 9 </t>
  </si>
  <si>
    <t>https://drive.google.com/open?id=1u6Qr2Wha2Vhq2TYWmXAvRSlgVwXqxVda</t>
  </si>
  <si>
    <t>CARGIL</t>
  </si>
  <si>
    <t xml:space="preserve">CESAR CERON </t>
  </si>
  <si>
    <t xml:space="preserve">Centro logistico la tovla bod  8 y 9 </t>
  </si>
  <si>
    <t>https://drive.google.com/open?id=1bBrTiyxJSyA950MqOkYSBySmlF6HOsEM</t>
  </si>
  <si>
    <t>MEDELLÍN</t>
  </si>
  <si>
    <t>MEDELLIN ADN</t>
  </si>
  <si>
    <t>ELIZABETH COY</t>
  </si>
  <si>
    <t xml:space="preserve">OFICINA MEDELLIN </t>
  </si>
  <si>
    <t>Supervisor SST ADN</t>
  </si>
  <si>
    <t>https://drive.google.com/open?id=1N_xJjDq9xZanQk_-UA34Tc9yYs-FmrPB</t>
  </si>
  <si>
    <t>CARTAGENA</t>
  </si>
  <si>
    <t>CARTEGENA ADN</t>
  </si>
  <si>
    <t>CARLOS CARO</t>
  </si>
  <si>
    <t>https://drive.google.com/open?id=19GXilxyRlUQZ9Nbt-wJiZeNSs6RArr-K</t>
  </si>
  <si>
    <t>CENTRO LOGISTICO LA TOLVA BOD 8 Y 9</t>
  </si>
  <si>
    <t xml:space="preserve">JUEN DIEGO ECHAVARRIA </t>
  </si>
  <si>
    <t>https://drive.google.com/open?id=1tpxqtAVdEnQp5qCRLHWJsIFjgXM59FZN</t>
  </si>
  <si>
    <t>CENRTO LOGISTICO LA TOLVA BOD.8 Y 9</t>
  </si>
  <si>
    <t>JUAN DIEGO ECHAVARRIA</t>
  </si>
  <si>
    <t>https://drive.google.com/open?id=1EWYUiBg39EbfrY7_2jnmV9xz0bbWgONs</t>
  </si>
  <si>
    <t>RDC YUMBO</t>
  </si>
  <si>
    <t>CARLOS ANDRES GUZMAN</t>
  </si>
  <si>
    <t>HERNAN REYES</t>
  </si>
  <si>
    <t>Coordinador de suministros y despachos</t>
  </si>
  <si>
    <t>https://drive.google.com/open?id=1lnVaHF6KfjsdxcEffTeSHunoa0RIc5Vj</t>
  </si>
  <si>
    <t>JOSE FREDDY VIVAS</t>
  </si>
  <si>
    <t>JHON JAIRO CASTAÑO</t>
  </si>
  <si>
    <t>Técnico de refrigeración ADN</t>
  </si>
  <si>
    <t>PASO DIRECTO POR REFRIDCOL</t>
  </si>
  <si>
    <t>https://drive.google.com/open?id=1oEP6RdRutrvpMxU9zCZI7UJ8V2LgDx1B</t>
  </si>
  <si>
    <t>Ayudante de armado ADN</t>
  </si>
  <si>
    <t>https://drive.google.com/open?id=1RTqc6MFzlBiF0NIASddR6rmDDNIEKWCb</t>
  </si>
  <si>
    <t>DIBUJANTE</t>
  </si>
  <si>
    <t>KAROL VIVIAN BOBADILLA</t>
  </si>
  <si>
    <t>CALLE 11A #37-26</t>
  </si>
  <si>
    <t>https://drive.google.com/open?id=1MgbGBrJ40L0gKTNzh4eEQdAF7n3Lxax-</t>
  </si>
  <si>
    <t xml:space="preserve"> N/A</t>
  </si>
  <si>
    <t>Calle 11 a #37-26</t>
  </si>
  <si>
    <t>Auxiliar de oficios varios</t>
  </si>
  <si>
    <t>https://drive.google.com/open?id=1I0DzNTIzw2J2IeCH9F4Hx6F_JNsrvATT</t>
  </si>
  <si>
    <t>OFICINA MEDELLIN</t>
  </si>
  <si>
    <t xml:space="preserve">CAMILO TORRES </t>
  </si>
  <si>
    <t>Asesor comercial YAK</t>
  </si>
  <si>
    <t>PLAN MEDIO</t>
  </si>
  <si>
    <t>https://drive.google.com/open?id=1zOKen-GNq7fKxYwNEX6JuMe6CACQa6VS</t>
  </si>
  <si>
    <t>https://drive.google.com/open?id=14la8PPpmFJ4yPyRHf9WJKWX7ij7cSweo</t>
  </si>
  <si>
    <t>ADN BOGOTÁ</t>
  </si>
  <si>
    <t>Ingeniero de soporte técnico ADN</t>
  </si>
  <si>
    <t>https://drive.google.com/open?id=1KDK-XY8n1U-ENhVBeG7TIdUdqPoDdBrC</t>
  </si>
  <si>
    <t xml:space="preserve">JOSE FREDY </t>
  </si>
  <si>
    <t>JHON CASTAÑO</t>
  </si>
  <si>
    <t>PASO A REFRIDCOL</t>
  </si>
  <si>
    <t>https://drive.google.com/open?id=1rce74ZaUotVjplEFXuwZyoTpr3LyYAfF</t>
  </si>
  <si>
    <t xml:space="preserve">JOSE FREDDY </t>
  </si>
  <si>
    <t>ADN YUMBO</t>
  </si>
  <si>
    <t>Ingeniero de proyectos y presupuestos senior ADN</t>
  </si>
  <si>
    <t>https://drive.google.com/open?id=1pIUi2KlGysl2IuK0Bs_fJJrenDHnMqdr</t>
  </si>
  <si>
    <t>EIMAR BECERRA</t>
  </si>
  <si>
    <t>Pailero</t>
  </si>
  <si>
    <t>https://drive.google.com/open?id=1dxwWCNAPk70U0Y-sTWtIRSjXfpnYAyo4</t>
  </si>
  <si>
    <t>ADN MEDELLIN</t>
  </si>
  <si>
    <t>ALVARO TROCCOLO</t>
  </si>
  <si>
    <t>ADN- MEDELLIN</t>
  </si>
  <si>
    <t>ELIZABET COY</t>
  </si>
  <si>
    <t>https://drive.google.com/open?id=1T0xay4Ub1KedsLMs5cOpbP2WLtY751yY</t>
  </si>
  <si>
    <t>HECTOR TORRES</t>
  </si>
  <si>
    <t>CALLE 11 A # 37-26</t>
  </si>
  <si>
    <t>JHON HENRY MARULANDA</t>
  </si>
  <si>
    <t>Ingeniero de diseño y presupuestos (master-junior-senior)</t>
  </si>
  <si>
    <t>EQUIPO DE DE CÓMPUTO DESKTOP, EQUIPO DE DE CÓMPUTO PORTÁTIL, EXT: PANTALLA, MOUSE, TECLADO</t>
  </si>
  <si>
    <t>CRHISTIAN ROSERO</t>
  </si>
  <si>
    <t>Ingeniero de proyectos YAK</t>
  </si>
  <si>
    <t>AUTOCAD, OFFICE 365</t>
  </si>
  <si>
    <t>https://drive.google.com/open?id=1KbI1MZQJq8cQ_NDgnoYhjF-Oow3kWmkz</t>
  </si>
  <si>
    <t>ADN BOGOTA</t>
  </si>
  <si>
    <t>JOSE FREDY VIVAS</t>
  </si>
  <si>
    <t>Ayudante de refrigeración ADN</t>
  </si>
  <si>
    <t>https://drive.google.com/open?id=1925o5g_VIp2DJqMB8lyjoRDhPk9-zzcl</t>
  </si>
  <si>
    <t>JHO JAIRO CASTAÑO</t>
  </si>
  <si>
    <t>https://drive.google.com/open?id=1usDuN7echGxczJLPlz4Pt8y4V05eOa4M</t>
  </si>
  <si>
    <t xml:space="preserve">operaciones </t>
  </si>
  <si>
    <t>Edwar Gil</t>
  </si>
  <si>
    <t>calle 11A #37-26 acopi Yumbo</t>
  </si>
  <si>
    <t xml:space="preserve">Técnico en refrigeracion </t>
  </si>
  <si>
    <t>Técnico de refrigeración línea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</si>
</sst>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(&quot;$&quot;\ * #,##0.00_);_(&quot;$&quot;\ * \(#,##0.00\);_(&quot;$&quot;\ * &quot;-&quot;??_);_(@_)"/>
    <numFmt numFmtId="165" formatCode="_(&quot;$&quot;\ * #,##0_);_(&quot;$&quot;\ * \(#,##0\);_(&quot;$&quot;\ * &quot;-&quot;??_);_(@_)"/>
    <numFmt numFmtId="166" formatCode="_-&quot;$&quot;\ * #,##0_-;\-&quot;$&quot;\ * #,##0_-;_-&quot;$&quot;\ * &quot;-&quot;??_-;_-@_-"/>
  </numFmts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color rgb="FFC00000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9"/>
      <name val="Aptos Narrow"/>
      <family val="2"/>
      <scheme val="minor"/>
    </font>
    <font>
      <b/>
      <sz val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0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4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name val="Aptos Narrow"/>
      <family val="2"/>
      <scheme val="minor"/>
    </font>
    <font>
      <b/>
      <sz val="16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8">
    <xf numFmtId="0" fontId="0" fillId="0" borderId="0" xfId="0"/>
    <xf numFmtId="14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14" fillId="0" borderId="1" xfId="0" applyFont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4" fillId="0" borderId="5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6" fillId="2" borderId="3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6" fillId="2" borderId="11" xfId="0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165" fontId="18" fillId="0" borderId="5" xfId="1" applyNumberFormat="1" applyFont="1" applyFill="1" applyBorder="1" applyAlignment="1" applyProtection="1">
      <alignment horizontal="center" vertical="center"/>
    </xf>
    <xf numFmtId="165" fontId="18" fillId="0" borderId="6" xfId="1" applyNumberFormat="1" applyFont="1" applyFill="1" applyBorder="1" applyAlignment="1" applyProtection="1">
      <alignment horizontal="center" vertical="center"/>
    </xf>
    <xf numFmtId="165" fontId="18" fillId="0" borderId="7" xfId="1" applyNumberFormat="1" applyFont="1" applyFill="1" applyBorder="1" applyAlignment="1" applyProtection="1">
      <alignment horizontal="center" vertical="center"/>
    </xf>
    <xf numFmtId="166" fontId="11" fillId="0" borderId="5" xfId="2" applyNumberFormat="1" applyFont="1" applyBorder="1" applyAlignment="1" applyProtection="1">
      <alignment horizontal="center" vertical="center" wrapText="1"/>
    </xf>
    <xf numFmtId="166" fontId="11" fillId="0" borderId="6" xfId="2" applyNumberFormat="1" applyFont="1" applyBorder="1" applyAlignment="1" applyProtection="1">
      <alignment horizontal="center" vertical="center" wrapText="1"/>
    </xf>
    <xf numFmtId="166" fontId="11" fillId="0" borderId="7" xfId="2" applyNumberFormat="1" applyFont="1" applyBorder="1" applyAlignment="1" applyProtection="1">
      <alignment horizontal="center" vertical="center" wrapText="1"/>
    </xf>
    <xf numFmtId="0" fontId="13" fillId="0" borderId="9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65" fontId="23" fillId="0" borderId="5" xfId="1" applyNumberFormat="1" applyFont="1" applyFill="1" applyBorder="1" applyAlignment="1" applyProtection="1">
      <alignment horizontal="center" vertical="center" wrapText="1"/>
    </xf>
    <xf numFmtId="165" fontId="23" fillId="0" borderId="6" xfId="1" applyNumberFormat="1" applyFont="1" applyFill="1" applyBorder="1" applyAlignment="1" applyProtection="1">
      <alignment horizontal="center" vertical="center" wrapText="1"/>
    </xf>
    <xf numFmtId="165" fontId="23" fillId="0" borderId="7" xfId="1" applyNumberFormat="1" applyFont="1" applyFill="1" applyBorder="1" applyAlignment="1" applyProtection="1">
      <alignment horizontal="center" vertical="center" wrapText="1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15" fillId="6" borderId="6" xfId="0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/>
    </xf>
    <xf numFmtId="0" fontId="15" fillId="6" borderId="2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165" fontId="18" fillId="0" borderId="6" xfId="1" applyNumberFormat="1" applyFont="1" applyBorder="1" applyAlignment="1" applyProtection="1">
      <alignment horizontal="center" vertical="center"/>
    </xf>
    <xf numFmtId="165" fontId="18" fillId="0" borderId="7" xfId="1" applyNumberFormat="1" applyFont="1" applyBorder="1" applyAlignment="1" applyProtection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65" fontId="3" fillId="0" borderId="1" xfId="1" applyNumberFormat="1" applyFont="1" applyBorder="1" applyAlignment="1" applyProtection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166" fontId="4" fillId="0" borderId="5" xfId="2" applyNumberFormat="1" applyFont="1" applyBorder="1" applyAlignment="1" applyProtection="1">
      <alignment horizontal="left" vertical="center" wrapText="1"/>
    </xf>
    <xf numFmtId="166" fontId="4" fillId="0" borderId="6" xfId="2" applyNumberFormat="1" applyFont="1" applyBorder="1" applyAlignment="1" applyProtection="1">
      <alignment horizontal="left" vertical="center" wrapText="1"/>
    </xf>
    <xf numFmtId="166" fontId="4" fillId="0" borderId="7" xfId="2" applyNumberFormat="1" applyFont="1" applyBorder="1" applyAlignment="1" applyProtection="1">
      <alignment horizontal="left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17" fillId="6" borderId="6" xfId="0" applyFont="1" applyFill="1" applyBorder="1" applyAlignment="1">
      <alignment horizontal="center" vertical="center" wrapText="1"/>
    </xf>
    <xf numFmtId="0" fontId="17" fillId="6" borderId="7" xfId="0" applyFont="1" applyFill="1" applyBorder="1" applyAlignment="1">
      <alignment horizontal="center" vertical="center" wrapText="1"/>
    </xf>
    <xf numFmtId="0" fontId="26" fillId="2" borderId="3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0" fontId="26" fillId="2" borderId="8" xfId="0" applyFont="1" applyFill="1" applyBorder="1" applyAlignment="1">
      <alignment horizontal="center" vertical="center"/>
    </xf>
    <xf numFmtId="0" fontId="26" fillId="2" borderId="9" xfId="0" applyFont="1" applyFill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vertical="center" wrapText="1"/>
    </xf>
    <xf numFmtId="0" fontId="24" fillId="2" borderId="1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left" vertical="center" wrapText="1"/>
    </xf>
    <xf numFmtId="0" fontId="8" fillId="2" borderId="6" xfId="0" applyFont="1" applyFill="1" applyBorder="1" applyAlignment="1">
      <alignment horizontal="left" vertical="center" wrapText="1"/>
    </xf>
    <xf numFmtId="0" fontId="8" fillId="2" borderId="7" xfId="0" applyFont="1" applyFill="1" applyBorder="1" applyAlignment="1">
      <alignment horizontal="left" vertical="center" wrapText="1"/>
    </xf>
    <xf numFmtId="0" fontId="24" fillId="0" borderId="5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0" fontId="25" fillId="0" borderId="6" xfId="0" applyFont="1" applyBorder="1" applyAlignment="1">
      <alignment horizontal="center" vertical="center" wrapText="1"/>
    </xf>
    <xf numFmtId="0" fontId="25" fillId="0" borderId="7" xfId="0" applyFont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2" fillId="0" borderId="5" xfId="0" applyFont="1" applyBorder="1" applyAlignment="1">
      <alignment vertical="center" wrapText="1"/>
    </xf>
    <xf numFmtId="0" fontId="12" fillId="0" borderId="6" xfId="0" applyFont="1" applyBorder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6" borderId="5" xfId="0" applyFont="1" applyFill="1" applyBorder="1" applyAlignment="1">
      <alignment horizontal="center" vertical="center" wrapText="1"/>
    </xf>
    <xf numFmtId="0" fontId="8" fillId="6" borderId="6" xfId="0" applyFont="1" applyFill="1" applyBorder="1" applyAlignment="1">
      <alignment horizontal="center" vertical="center" wrapText="1"/>
    </xf>
    <xf numFmtId="0" fontId="8" fillId="6" borderId="7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 applyProtection="1">
      <alignment horizontal="center" vertical="center" wrapText="1"/>
      <protection locked="0"/>
    </xf>
    <xf numFmtId="17" fontId="0" fillId="0" borderId="1" xfId="0" applyNumberFormat="1" applyBorder="1" applyAlignment="1">
      <alignment horizontal="center" vertical="center" wrapText="1"/>
    </xf>
  </cellXfs>
  <cellStyles count="3">
    <cellStyle name="Moneda" xfId="2" builtinId="4"/>
    <cellStyle name="Moneda 2" xfId="1" xr:uid="{318F5EAD-8E86-47F3-9970-9784DB4F4AE7}"/>
    <cellStyle name="Normal" xfId="0" builtinId="0"/>
  </cellStyles>
  <dxfs count="3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0</xdr:row>
      <xdr:rowOff>73369</xdr:rowOff>
    </xdr:from>
    <xdr:to>
      <xdr:col>3</xdr:col>
      <xdr:colOff>104774</xdr:colOff>
      <xdr:row>5</xdr:row>
      <xdr:rowOff>109005</xdr:rowOff>
    </xdr:to>
    <xdr:pic>
      <xdr:nvPicPr>
        <xdr:cNvPr id="2" name="Imagen 1" descr="logo letras negras">
          <a:extLst>
            <a:ext uri="{FF2B5EF4-FFF2-40B4-BE49-F238E27FC236}">
              <a16:creationId xmlns:a16="http://schemas.microsoft.com/office/drawing/2014/main" id="{F51F97F3-8B97-4DB2-8F8B-A5773689A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49" y="73369"/>
          <a:ext cx="790575" cy="7976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85725</xdr:colOff>
          <xdr:row>0</xdr:row>
          <xdr:rowOff>133350</xdr:rowOff>
        </xdr:from>
        <xdr:to>
          <xdr:col>28</xdr:col>
          <xdr:colOff>752475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600" b="1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85725</xdr:colOff>
          <xdr:row>5</xdr:row>
          <xdr:rowOff>76200</xdr:rowOff>
        </xdr:from>
        <xdr:to>
          <xdr:col>28</xdr:col>
          <xdr:colOff>752475</xdr:colOff>
          <xdr:row>8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600" b="1" i="0" u="none" strike="noStrike" baseline="0">
                  <a:solidFill>
                    <a:srgbClr val="000000"/>
                  </a:solidFill>
                  <a:latin typeface="Aptos Narrow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85725</xdr:colOff>
          <xdr:row>10</xdr:row>
          <xdr:rowOff>38100</xdr:rowOff>
        </xdr:from>
        <xdr:to>
          <xdr:col>28</xdr:col>
          <xdr:colOff>752475</xdr:colOff>
          <xdr:row>11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600" b="1" i="0" u="none" strike="noStrike" baseline="0">
                  <a:solidFill>
                    <a:srgbClr val="000000"/>
                  </a:solidFill>
                  <a:latin typeface="Aptos Narrow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1006A946-9A3F-4633-8E8F-3B0C77C52A8A}" autoFormatId="16" applyNumberFormats="0" applyBorderFormats="0" applyFontFormats="0" applyPatternFormats="0" applyAlignmentFormats="0" applyWidthHeightFormats="0">
  <queryTableRefresh nextId="71">
    <queryTableFields count="50">
      <queryTableField id="55" name="CONSECUTIVO" tableColumnId="1"/>
      <queryTableField id="2" name="FECHA DE RADICACIÓN" tableColumnId="2"/>
      <queryTableField id="3" name="CIUDAD" tableColumnId="3"/>
      <queryTableField id="4" name="OT" tableColumnId="4"/>
      <queryTableField id="5" name="NOMBRE OBRA / PROYECTO" tableColumnId="5"/>
      <queryTableField id="6" name="NOMBRE DEL SOLICITANTE" tableColumnId="6"/>
      <queryTableField id="7" name="DIRECCIÓN DE OBRA O PROYECTO" tableColumnId="7"/>
      <queryTableField id="8" name="ENCARGADO EN SITIO" tableColumnId="8"/>
      <queryTableField id="9" name="NÚMERO DE PERSONAS REQUERIDAS PARA EL CARGO" tableColumnId="9"/>
      <queryTableField id="10" name="TSA" tableColumnId="10"/>
      <queryTableField id="11" name="DURACIÓN OBRA O CONTRATO" tableColumnId="11"/>
      <queryTableField id="12" name="FECHA PROBABLE INGRESO" tableColumnId="12"/>
      <queryTableField id="13" name="CENTRO DE COSTO" tableColumnId="13"/>
      <queryTableField id="14" name="PERFIL &quot;O&quot;" tableColumnId="14"/>
      <queryTableField id="15" name="AREA" tableColumnId="15"/>
      <queryTableField id="16" name="NOMBRE DEL CARGO SOLICITADO ADM" tableColumnId="16"/>
      <queryTableField id="21" name="NOMBRE DEL CARGO SOLICITADO ADN" tableColumnId="21"/>
      <queryTableField id="17" name="NOMBRE DEL CARGO SOLICITADO COM" tableColumnId="17"/>
      <queryTableField id="39" name="NOMBRE DEL CARGO SOLICITADO PRD" tableColumnId="39"/>
      <queryTableField id="19" name="NOMBRE DEL CARGO SOLICITADO PRY" tableColumnId="19"/>
      <queryTableField id="20" name="NOMBRE DEL CARGO SOLICITADO YAK" tableColumnId="20"/>
      <queryTableField id="22" name="POR FAVOR INDIQUE LA CAUSAL DE LA REQUISICIÓN" tableColumnId="22"/>
      <queryTableField id="23" name="POR FAVOR EXPLIQUE QUE OTRA RAZÓN ES LA CAUSAL DE LA REQUISICIÓN" tableColumnId="23"/>
      <queryTableField id="24" name="NECESITA EQUIPOS DE OFICINA" tableColumnId="24"/>
      <queryTableField id="25" name="POR FAVOR SELECCIONE CUALES EQUIPOS DE OFICINA REQUIERE EL NUEVO COLABORADOR" tableColumnId="25"/>
      <queryTableField id="26" name="NECESITA EQUIPOS TECNOLÓGICOS" tableColumnId="26"/>
      <queryTableField id="27" name="POR FAVOR SELECCIONE CUALES  EQUIPOS TECNOLÓGICOS REQUIERE EL NUEVO COLABORADOR" tableColumnId="27"/>
      <queryTableField id="28" name="REQUIERE LINEA TELEFÓNICA" tableColumnId="28"/>
      <queryTableField id="29" name="REQUIERE SIMCARD" tableColumnId="29"/>
      <queryTableField id="30" name="SELECCIONE EL TIPO DE PLAN NECESITADO" tableColumnId="30"/>
      <queryTableField id="31" name="SALARIO ASIGNADO" tableColumnId="31"/>
      <queryTableField id="32" name="HORAS EXTRAS" tableColumnId="32"/>
      <queryTableField id="33" name="MODALIDAD DE CONTRATACIÓN" tableColumnId="33"/>
      <queryTableField id="34" name="TIPO DE CONTRATACIÓN" tableColumnId="34"/>
      <queryTableField id="35" name="AUXILIO MOVILIZACIÓN" tableColumnId="35"/>
      <queryTableField id="36" name="AUXILIO ALIMENTACIÓN" tableColumnId="36"/>
      <queryTableField id="37" name="AUXILIO VIVIENDA" tableColumnId="37"/>
      <queryTableField id="41" name="REQUIERE PROGRAMAS ESPECIALES" tableColumnId="41"/>
      <queryTableField id="42" name="INDIQUE LOS PROGRAMAS ESPECIALES QUE REQUIERE:" tableColumnId="42"/>
      <queryTableField id="57" name="¿Que desea registrar?" tableColumnId="38"/>
      <queryTableField id="58" name="¡Por favor adjunte la requisición con la firma de autorización como soporte!" tableColumnId="43"/>
      <queryTableField id="59" name="Selecciona el radicado " tableColumnId="50"/>
      <queryTableField id="69" name="Columna 44" tableColumnId="40"/>
      <queryTableField id="63" name="Column1" tableColumnId="18"/>
      <queryTableField id="44" name="DIA" tableColumnId="44"/>
      <queryTableField id="45" name="MES" tableColumnId="45"/>
      <queryTableField id="46" name="AÑO" tableColumnId="46"/>
      <queryTableField id="47" name="DIA POSIBLE INGRESO" tableColumnId="47"/>
      <queryTableField id="48" name="MES POSIBLE INGRESO" tableColumnId="48"/>
      <queryTableField id="49" name="AÑO POSIBLE INGRESO" tableColumnId="4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71AFCB-F3B2-4C60-BBEC-EDF961050BAF}" name="RESPUESTA_RP" displayName="RESPUESTA_RP" ref="A1:AX31" tableType="queryTable" totalsRowShown="0">
  <autoFilter ref="A1:AX31" xr:uid="{7571AFCB-F3B2-4C60-BBEC-EDF961050BAF}"/>
  <tableColumns count="50">
    <tableColumn id="1" xr3:uid="{2246E0F5-C88F-4B0D-8C7A-3232B6D7987A}" uniqueName="1" name="CONSECUTIVO" queryTableFieldId="55" dataDxfId="38"/>
    <tableColumn id="2" xr3:uid="{7FA30C64-454C-4F0E-B19B-573C17A770E9}" uniqueName="2" name="FECHA DE RADICACIÓN" queryTableFieldId="2" dataDxfId="37"/>
    <tableColumn id="3" xr3:uid="{4C42ACE9-3EF0-4F9A-9E78-391C4B8A48D7}" uniqueName="3" name="CIUDAD" queryTableFieldId="3" dataDxfId="36"/>
    <tableColumn id="4" xr3:uid="{949347DA-A102-475E-AD98-A900025AF719}" uniqueName="4" name="OT" queryTableFieldId="4" dataDxfId="35"/>
    <tableColumn id="5" xr3:uid="{E6999AB1-6737-4D29-97E3-CC0F256FD403}" uniqueName="5" name="NOMBRE OBRA / PROYECTO" queryTableFieldId="5" dataDxfId="34"/>
    <tableColumn id="6" xr3:uid="{9B2FE159-B3E4-4475-A79A-A6CFC155E6EF}" uniqueName="6" name="NOMBRE DEL SOLICITANTE" queryTableFieldId="6" dataDxfId="33"/>
    <tableColumn id="7" xr3:uid="{35B9F493-58E0-40B5-B90D-BA3B25832417}" uniqueName="7" name="DIRECCIÓN DE OBRA O PROYECTO" queryTableFieldId="7" dataDxfId="32"/>
    <tableColumn id="8" xr3:uid="{72670130-9327-4010-BAF2-4F9A8BEC74B5}" uniqueName="8" name="ENCARGADO EN SITIO" queryTableFieldId="8" dataDxfId="31"/>
    <tableColumn id="9" xr3:uid="{743FF270-62AA-450C-9AB8-1D6BD85FB4B3}" uniqueName="9" name="NÚMERO DE PERSONAS REQUERIDAS PARA EL CARGO" queryTableFieldId="9"/>
    <tableColumn id="10" xr3:uid="{34C18E13-E513-4E74-984F-8F2FCC24D500}" uniqueName="10" name="TSA" queryTableFieldId="10" dataDxfId="30"/>
    <tableColumn id="11" xr3:uid="{93183114-D44F-45F1-BF2F-0B7A9778ADF6}" uniqueName="11" name="DURACIÓN OBRA O CONTRATO" queryTableFieldId="11" dataDxfId="29"/>
    <tableColumn id="12" xr3:uid="{8A5325E0-9D93-40F0-A3EA-088816E365FD}" uniqueName="12" name="FECHA PROBABLE INGRESO" queryTableFieldId="12" dataDxfId="28"/>
    <tableColumn id="13" xr3:uid="{3A4D957F-191D-4ECF-93A6-46791A32C8CF}" uniqueName="13" name="CENTRO DE COSTO" queryTableFieldId="13"/>
    <tableColumn id="14" xr3:uid="{0690C211-0244-416F-A5DC-D4867844E8B9}" uniqueName="14" name="PERFIL &quot;O&quot;" queryTableFieldId="14" dataDxfId="27"/>
    <tableColumn id="15" xr3:uid="{3F14F011-FD0A-4325-B53B-E4EAFB828010}" uniqueName="15" name="AREA" queryTableFieldId="15" dataDxfId="26"/>
    <tableColumn id="16" xr3:uid="{A22A92B4-757D-4ED7-B229-C51118FC7A76}" uniqueName="16" name="NOMBRE DEL CARGO SOLICITADO ADM" queryTableFieldId="16" dataDxfId="25"/>
    <tableColumn id="21" xr3:uid="{FCD5FD62-8830-49C5-94E6-2CA117291188}" uniqueName="21" name="NOMBRE DEL CARGO SOLICITADO ADN" queryTableFieldId="21" dataDxfId="24"/>
    <tableColumn id="17" xr3:uid="{D510F91E-01A8-4142-8ECC-81B8BD166363}" uniqueName="17" name="NOMBRE DEL CARGO SOLICITADO COM" queryTableFieldId="17" dataDxfId="23"/>
    <tableColumn id="39" xr3:uid="{77425F3E-BE2A-4522-96D9-6B5E2B3E2FDE}" uniqueName="39" name="NOMBRE DEL CARGO SOLICITADO PRD" queryTableFieldId="39" dataDxfId="22"/>
    <tableColumn id="19" xr3:uid="{F31DDCAF-8DF2-4985-8198-93D73D5A144C}" uniqueName="19" name="NOMBRE DEL CARGO SOLICITADO PRY" queryTableFieldId="19" dataDxfId="21"/>
    <tableColumn id="20" xr3:uid="{8889BAFE-61F2-4900-A29A-0A33991477EE}" uniqueName="20" name="NOMBRE DEL CARGO SOLICITADO YAK" queryTableFieldId="20" dataDxfId="20"/>
    <tableColumn id="22" xr3:uid="{B815842C-E539-43AD-87E7-2F8822B9206F}" uniqueName="22" name="POR FAVOR INDIQUE LA CAUSAL DE LA REQUISICIÓN" queryTableFieldId="22" dataDxfId="19"/>
    <tableColumn id="23" xr3:uid="{3E8E711F-1106-4FD3-9FB8-E0B2A27D86F3}" uniqueName="23" name="POR FAVOR EXPLIQUE QUE OTRA RAZÓN ES LA CAUSAL DE LA REQUISICIÓN" queryTableFieldId="23" dataDxfId="18"/>
    <tableColumn id="24" xr3:uid="{C043C742-AD93-4C8D-8BA4-18D9FC77AE08}" uniqueName="24" name="NECESITA EQUIPOS DE OFICINA" queryTableFieldId="24" dataDxfId="17"/>
    <tableColumn id="25" xr3:uid="{66367FC3-A4FE-4B2F-8398-463BF6D9773C}" uniqueName="25" name="POR FAVOR SELECCIONE CUALES EQUIPOS DE OFICINA REQUIERE EL NUEVO COLABORADOR" queryTableFieldId="25" dataDxfId="16"/>
    <tableColumn id="26" xr3:uid="{AB9FD847-B837-4471-BCF5-E17291BAF09A}" uniqueName="26" name="NECESITA EQUIPOS TECNOLÓGICOS" queryTableFieldId="26" dataDxfId="15"/>
    <tableColumn id="27" xr3:uid="{0F494CB8-D58A-4954-B2E5-408A99BD5827}" uniqueName="27" name="POR FAVOR SELECCIONE CUALES  EQUIPOS TECNOLÓGICOS REQUIERE EL NUEVO COLABORADOR" queryTableFieldId="27" dataDxfId="14"/>
    <tableColumn id="28" xr3:uid="{57B7F6B1-F787-4C75-A2AA-C5800AD06F8A}" uniqueName="28" name="REQUIERE LINEA TELEFÓNICA" queryTableFieldId="28" dataDxfId="13"/>
    <tableColumn id="29" xr3:uid="{5393F573-A195-4EF5-80D4-4B8047A303D0}" uniqueName="29" name="REQUIERE SIMCARD" queryTableFieldId="29" dataDxfId="12"/>
    <tableColumn id="30" xr3:uid="{4B702105-D0C8-4BEE-B2DD-933D63E0E7C3}" uniqueName="30" name="SELECCIONE EL TIPO DE PLAN NECESITADO" queryTableFieldId="30" dataDxfId="11"/>
    <tableColumn id="31" xr3:uid="{C7A4E7E5-8A2B-4A08-B4D2-65784789AADD}" uniqueName="31" name="SALARIO ASIGNADO" queryTableFieldId="31"/>
    <tableColumn id="32" xr3:uid="{D3ECC0AE-6C2C-4673-8AAA-C886CE05F62E}" uniqueName="32" name="HORAS EXTRAS" queryTableFieldId="32" dataDxfId="10"/>
    <tableColumn id="33" xr3:uid="{7369A6BB-7A8A-4C46-8370-E124D1995375}" uniqueName="33" name="MODALIDAD DE CONTRATACIÓN" queryTableFieldId="33" dataDxfId="9"/>
    <tableColumn id="34" xr3:uid="{A174A756-0447-412B-9F84-0B1487272802}" uniqueName="34" name="TIPO DE CONTRATACIÓN" queryTableFieldId="34" dataDxfId="8"/>
    <tableColumn id="35" xr3:uid="{33BAEAA4-CFAF-41F0-A120-E3FAECC3CB67}" uniqueName="35" name="AUXILIO MOVILIZACIÓN" queryTableFieldId="35"/>
    <tableColumn id="36" xr3:uid="{ADA57692-2EFD-416D-936F-39130D89C0E6}" uniqueName="36" name="AUXILIO ALIMENTACIÓN" queryTableFieldId="36"/>
    <tableColumn id="37" xr3:uid="{EF163A1B-C20A-418F-814C-2AA353965444}" uniqueName="37" name="AUXILIO VIVIENDA" queryTableFieldId="37" dataDxfId="7"/>
    <tableColumn id="41" xr3:uid="{67E05805-E4AC-499C-BE3A-B2A5267D5C6E}" uniqueName="41" name="REQUIERE PROGRAMAS ESPECIALES" queryTableFieldId="41" dataDxfId="6"/>
    <tableColumn id="42" xr3:uid="{05DEB049-B15E-40D2-8654-98718C7AF33B}" uniqueName="42" name="INDIQUE LOS PROGRAMAS ESPECIALES QUE REQUIERE:" queryTableFieldId="42" dataDxfId="5"/>
    <tableColumn id="38" xr3:uid="{275ADFE4-E42E-4E05-B9CA-548D291CAE65}" uniqueName="38" name="¿Que desea registrar?" queryTableFieldId="57" dataDxfId="4"/>
    <tableColumn id="43" xr3:uid="{5C557397-991C-49AF-AC9A-5C24B2EB05C9}" uniqueName="43" name="¡Por favor adjunte la requisición con la firma de autorización como soporte!" queryTableFieldId="58" dataDxfId="3"/>
    <tableColumn id="50" xr3:uid="{2BEB1BDB-634A-4570-A600-F63E4ED63248}" uniqueName="50" name="Selecciona el radicado " queryTableFieldId="59" dataDxfId="2"/>
    <tableColumn id="40" xr3:uid="{B593DF84-3485-4EA0-A0E0-491C25ACFF63}" uniqueName="40" name="Columna 44" queryTableFieldId="69" dataDxfId="1"/>
    <tableColumn id="18" xr3:uid="{CAF4B115-CA8C-4414-B431-B652A8501686}" uniqueName="18" name="Column1" queryTableFieldId="63" dataDxfId="0"/>
    <tableColumn id="44" xr3:uid="{2BD6483D-76E7-41FC-9525-0C5B82E78127}" uniqueName="44" name="DIA" queryTableFieldId="44"/>
    <tableColumn id="45" xr3:uid="{699C00E4-189E-4804-89D3-51D213AD7D3A}" uniqueName="45" name="MES" queryTableFieldId="45"/>
    <tableColumn id="46" xr3:uid="{76AC1FB6-53C4-4F6F-BAA2-1917203A8C5A}" uniqueName="46" name="AÑO" queryTableFieldId="46"/>
    <tableColumn id="47" xr3:uid="{9F0B0C61-B606-4E15-8D2C-5909C46E26C6}" uniqueName="47" name="DIA POSIBLE INGRESO" queryTableFieldId="47"/>
    <tableColumn id="48" xr3:uid="{87B3CA0B-7B0D-4305-A619-449D4A7B43A4}" uniqueName="48" name="MES POSIBLE INGRESO" queryTableFieldId="48"/>
    <tableColumn id="49" xr3:uid="{1258F17E-A3C3-4964-9A06-3B854467C3F0}" uniqueName="49" name="AÑO POSIBLE INGRESO" queryTableFieldId="4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921F0-1CCA-4414-8AE0-AD66DB51869B}">
  <sheetPr codeName="Hoja1">
    <pageSetUpPr fitToPage="1"/>
  </sheetPr>
  <dimension ref="A1:Z51"/>
  <sheetViews>
    <sheetView showGridLines="0" tabSelected="1" view="pageBreakPreview" topLeftCell="A23" zoomScaleNormal="100" zoomScaleSheetLayoutView="100" workbookViewId="0">
      <selection activeCell="D37" sqref="D37:H37"/>
    </sheetView>
  </sheetViews>
  <sheetFormatPr baseColWidth="10" defaultColWidth="11.42578125" defaultRowHeight="15.75" customHeight="1" x14ac:dyDescent="0.25"/>
  <cols>
    <col min="1" max="1" width="3.5703125" style="3" customWidth="1"/>
    <col min="2" max="2" width="8.5703125" style="3" customWidth="1"/>
    <col min="3" max="3" width="3.5703125" style="3" customWidth="1"/>
    <col min="4" max="4" width="7" style="3" customWidth="1"/>
    <col min="5" max="5" width="7.5703125" style="3" customWidth="1"/>
    <col min="6" max="6" width="1.42578125" style="3" customWidth="1"/>
    <col min="7" max="7" width="7.28515625" style="3" customWidth="1"/>
    <col min="8" max="8" width="8.42578125" style="3" customWidth="1"/>
    <col min="9" max="9" width="4.85546875" style="3" customWidth="1"/>
    <col min="10" max="10" width="2.7109375" style="3" customWidth="1"/>
    <col min="11" max="11" width="6.5703125" style="3" customWidth="1"/>
    <col min="12" max="12" width="2.85546875" style="3" customWidth="1"/>
    <col min="13" max="13" width="2" style="3" customWidth="1"/>
    <col min="14" max="14" width="3" style="3" customWidth="1"/>
    <col min="15" max="15" width="6.28515625" style="3" customWidth="1"/>
    <col min="16" max="16" width="9.140625" style="3" customWidth="1"/>
    <col min="17" max="17" width="8" style="3" customWidth="1"/>
    <col min="18" max="18" width="5.42578125" style="3" customWidth="1"/>
    <col min="19" max="20" width="6.5703125" style="3" customWidth="1"/>
    <col min="21" max="21" width="4" style="3" customWidth="1"/>
    <col min="22" max="22" width="5.42578125" style="3" customWidth="1"/>
    <col min="23" max="23" width="3.85546875" style="3" customWidth="1"/>
    <col min="24" max="24" width="4.85546875" style="3" customWidth="1"/>
    <col min="25" max="26" width="6.5703125" style="3" customWidth="1"/>
    <col min="27" max="27" width="2.85546875" style="3" customWidth="1"/>
    <col min="28" max="16384" width="11.42578125" style="3"/>
  </cols>
  <sheetData>
    <row r="1" spans="1:26" ht="12" customHeight="1" x14ac:dyDescent="0.25">
      <c r="A1" s="75"/>
      <c r="B1" s="75"/>
      <c r="C1" s="75"/>
      <c r="D1" s="75"/>
      <c r="E1" s="152" t="s">
        <v>39</v>
      </c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4" t="s">
        <v>40</v>
      </c>
      <c r="S1" s="154"/>
      <c r="T1" s="154"/>
      <c r="U1" s="155" t="s">
        <v>41</v>
      </c>
      <c r="V1" s="155"/>
      <c r="W1" s="155"/>
      <c r="X1" s="129" t="s">
        <v>42</v>
      </c>
      <c r="Y1" s="129"/>
      <c r="Z1" s="129"/>
    </row>
    <row r="2" spans="1:26" ht="12" customHeight="1" x14ac:dyDescent="0.25">
      <c r="A2" s="75"/>
      <c r="B2" s="75"/>
      <c r="C2" s="75"/>
      <c r="D2" s="75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4"/>
      <c r="S2" s="154"/>
      <c r="T2" s="154"/>
      <c r="U2" s="155"/>
      <c r="V2" s="155"/>
      <c r="W2" s="155"/>
      <c r="X2" s="129"/>
      <c r="Y2" s="129"/>
      <c r="Z2" s="129"/>
    </row>
    <row r="3" spans="1:26" ht="12" customHeight="1" x14ac:dyDescent="0.25">
      <c r="A3" s="75"/>
      <c r="B3" s="75"/>
      <c r="C3" s="75"/>
      <c r="D3" s="75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6">
        <v>159</v>
      </c>
      <c r="S3" s="156"/>
      <c r="T3" s="156"/>
      <c r="U3" s="155" t="s">
        <v>43</v>
      </c>
      <c r="V3" s="155"/>
      <c r="W3" s="155"/>
      <c r="X3" s="157">
        <v>45920</v>
      </c>
      <c r="Y3" s="157"/>
      <c r="Z3" s="157"/>
    </row>
    <row r="4" spans="1:26" ht="12" customHeight="1" x14ac:dyDescent="0.25">
      <c r="A4" s="75"/>
      <c r="B4" s="75"/>
      <c r="C4" s="75"/>
      <c r="D4" s="75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6"/>
      <c r="S4" s="156"/>
      <c r="T4" s="156"/>
      <c r="U4" s="155"/>
      <c r="V4" s="155"/>
      <c r="W4" s="155"/>
      <c r="X4" s="157"/>
      <c r="Y4" s="157"/>
      <c r="Z4" s="157"/>
    </row>
    <row r="5" spans="1:26" ht="12" customHeight="1" x14ac:dyDescent="0.25">
      <c r="A5" s="75"/>
      <c r="B5" s="75"/>
      <c r="C5" s="75"/>
      <c r="D5" s="75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53"/>
      <c r="P5" s="153"/>
      <c r="Q5" s="153"/>
      <c r="R5" s="156"/>
      <c r="S5" s="156"/>
      <c r="T5" s="156"/>
      <c r="U5" s="155" t="s">
        <v>44</v>
      </c>
      <c r="V5" s="155"/>
      <c r="W5" s="155"/>
      <c r="X5" s="129">
        <v>12</v>
      </c>
      <c r="Y5" s="129"/>
      <c r="Z5" s="129"/>
    </row>
    <row r="6" spans="1:26" ht="12" customHeight="1" x14ac:dyDescent="0.25">
      <c r="A6" s="75"/>
      <c r="B6" s="75"/>
      <c r="C6" s="75"/>
      <c r="D6" s="75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6"/>
      <c r="S6" s="156"/>
      <c r="T6" s="156"/>
      <c r="U6" s="155"/>
      <c r="V6" s="155"/>
      <c r="W6" s="155"/>
      <c r="X6" s="129"/>
      <c r="Y6" s="129"/>
      <c r="Z6" s="129"/>
    </row>
    <row r="7" spans="1:26" ht="5.25" customHeight="1" x14ac:dyDescent="0.25">
      <c r="A7" s="151"/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</row>
    <row r="8" spans="1:26" ht="12.75" customHeight="1" x14ac:dyDescent="0.25">
      <c r="A8" s="90" t="s">
        <v>0</v>
      </c>
      <c r="B8" s="90"/>
      <c r="C8" s="90"/>
      <c r="D8" s="90"/>
      <c r="E8" s="90"/>
      <c r="F8" s="90" t="s">
        <v>45</v>
      </c>
      <c r="G8" s="90"/>
      <c r="H8" s="4" t="s">
        <v>46</v>
      </c>
      <c r="I8" s="90" t="s">
        <v>47</v>
      </c>
      <c r="J8" s="90"/>
      <c r="K8" s="90"/>
      <c r="L8" s="5"/>
      <c r="M8" s="5"/>
      <c r="N8" s="5"/>
      <c r="O8" s="90" t="s">
        <v>1</v>
      </c>
      <c r="P8" s="90"/>
      <c r="Q8" s="90" t="s">
        <v>48</v>
      </c>
      <c r="R8" s="90"/>
      <c r="S8" s="90"/>
      <c r="T8" s="90" t="s">
        <v>49</v>
      </c>
      <c r="U8" s="90"/>
      <c r="V8" s="90"/>
      <c r="W8" s="90"/>
      <c r="X8" s="90"/>
      <c r="Y8" s="90"/>
      <c r="Z8" s="90"/>
    </row>
    <row r="9" spans="1:26" ht="23.25" customHeight="1" x14ac:dyDescent="0.25">
      <c r="A9" s="90"/>
      <c r="B9" s="90"/>
      <c r="C9" s="90"/>
      <c r="D9" s="90"/>
      <c r="E9" s="90"/>
      <c r="F9" s="129">
        <f>_xlfn.XLOOKUP($R$3,RESPUESTA_RP[CONSECUTIVO],RESPUESTA_RP[DIA],"")</f>
        <v>2</v>
      </c>
      <c r="G9" s="129"/>
      <c r="H9" s="2">
        <f>_xlfn.XLOOKUP($R$3,RESPUESTA_RP[CONSECUTIVO],RESPUESTA_RP[MES],"")</f>
        <v>9</v>
      </c>
      <c r="I9" s="129">
        <f>_xlfn.XLOOKUP($R$3,RESPUESTA_RP[CONSECUTIVO],RESPUESTA_RP[AÑO],"")</f>
        <v>2025</v>
      </c>
      <c r="J9" s="129"/>
      <c r="K9" s="129"/>
      <c r="L9" s="5"/>
      <c r="M9" s="5"/>
      <c r="N9" s="5"/>
      <c r="O9" s="131" t="str">
        <f>_xlfn.XLOOKUP($R$3,RESPUESTA_RP[CONSECUTIVO],RESPUESTA_RP[CIUDAD],"")</f>
        <v>BOGOTÁ</v>
      </c>
      <c r="P9" s="131"/>
      <c r="Q9" s="148" t="str">
        <f>_xlfn.XLOOKUP($R$3,RESPUESTA_RP[CONSECUTIVO],RESPUESTA_RP[OT],"")</f>
        <v>N/A</v>
      </c>
      <c r="R9" s="149"/>
      <c r="S9" s="150"/>
      <c r="T9" s="131" t="str">
        <f>_xlfn.XLOOKUP($R$3,RESPUESTA_RP[CONSECUTIVO],RESPUESTA_RP[NOMBRE OBRA / PROYECTO],"")</f>
        <v>OFICINA BOGOTÁ</v>
      </c>
      <c r="U9" s="131"/>
      <c r="V9" s="131"/>
      <c r="W9" s="131"/>
      <c r="X9" s="131"/>
      <c r="Y9" s="131"/>
      <c r="Z9" s="131"/>
    </row>
    <row r="10" spans="1:26" ht="5.25" customHeight="1" x14ac:dyDescent="0.25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</row>
    <row r="11" spans="1:26" ht="34.5" customHeight="1" x14ac:dyDescent="0.25">
      <c r="A11" s="128" t="s">
        <v>4</v>
      </c>
      <c r="B11" s="128"/>
      <c r="C11" s="128"/>
      <c r="D11" s="128"/>
      <c r="E11" s="128"/>
      <c r="F11" s="131" t="str">
        <f>_xlfn.XLOOKUP($R$3,RESPUESTA_RP[CONSECUTIVO],RESPUESTA_RP[NOMBRE DEL SOLICITANTE],"")</f>
        <v>JOHN JAIRO ESCOBAR</v>
      </c>
      <c r="G11" s="131"/>
      <c r="H11" s="131"/>
      <c r="I11" s="131"/>
      <c r="J11" s="131"/>
      <c r="K11" s="131"/>
      <c r="L11" s="131"/>
      <c r="M11" s="131"/>
      <c r="N11" s="131"/>
      <c r="O11" s="130" t="s">
        <v>5</v>
      </c>
      <c r="P11" s="130"/>
      <c r="Q11" s="130"/>
      <c r="R11" s="130"/>
      <c r="S11" s="131" t="str">
        <f>_xlfn.XLOOKUP($R$3,RESPUESTA_RP[CONSECUTIVO],RESPUESTA_RP[DIRECCIÓN DE OBRA O PROYECTO],"")</f>
        <v>OFICINA BOGOTÁ</v>
      </c>
      <c r="T11" s="131"/>
      <c r="U11" s="131"/>
      <c r="V11" s="131"/>
      <c r="W11" s="131"/>
      <c r="X11" s="131"/>
      <c r="Y11" s="131"/>
      <c r="Z11" s="131"/>
    </row>
    <row r="12" spans="1:26" ht="21" customHeight="1" x14ac:dyDescent="0.25">
      <c r="A12" s="128" t="s">
        <v>50</v>
      </c>
      <c r="B12" s="128"/>
      <c r="C12" s="128"/>
      <c r="D12" s="128"/>
      <c r="E12" s="128"/>
      <c r="F12" s="129" t="str">
        <f>_xlfn.LET(
  _xlpm.rad,$R$3,
  _xlpm.adm,_xlfn.XLOOKUP(_xlpm.rad,RESPUESTA_RP[CONSECUTIVO],RESPUESTA_RP[NOMBRE DEL CARGO SOLICITADO ADM],"",0),
  _xlpm.com,_xlfn.XLOOKUP(_xlpm.rad,RESPUESTA_RP[CONSECUTIVO],RESPUESTA_RP[NOMBRE DEL CARGO SOLICITADO COM],"",0),
  _xlpm.pry,_xlfn.XLOOKUP(_xlpm.rad,RESPUESTA_RP[CONSECUTIVO],RESPUESTA_RP[NOMBRE DEL CARGO SOLICITADO PRY],"",0),
  _xlpm.pdn,_xlfn.XLOOKUP(_xlpm.rad,RESPUESTA_RP[CONSECUTIVO],RESPUESTA_RP[NOMBRE DEL CARGO SOLICITADO PRD],"",0),
  _xlpm.yak,_xlfn.XLOOKUP(_xlpm.rad,RESPUESTA_RP[CONSECUTIVO],RESPUESTA_RP[NOMBRE DEL CARGO SOLICITADO YAK],"",0),
  _xlpm.adn,_xlfn.XLOOKUP(_xlpm.rad,RESPUESTA_RP[CONSECUTIVO],RESPUESTA_RP[NOMBRE DEL CARGO SOLICITADO ADN],"",0),
  IF(_xlpm.adm&lt;&gt;"",_xlpm.adm,IF(_xlpm.com&lt;&gt;"",_xlpm.com,IF(_xlpm.pry&lt;&gt;"",_xlpm.pry,IF(_xlpm.pdn&lt;&gt;"",_xlpm.pdn,IF(_xlpm.yak&lt;&gt;"",_xlpm.yak,IF(_xlpm.adn&lt;&gt;"",_xlpm.adn,""))))))
)</f>
        <v>Asesor de venta consultiva</v>
      </c>
      <c r="G12" s="129"/>
      <c r="H12" s="129"/>
      <c r="I12" s="129"/>
      <c r="J12" s="129"/>
      <c r="K12" s="129"/>
      <c r="L12" s="129"/>
      <c r="M12" s="129"/>
      <c r="N12" s="129"/>
      <c r="O12" s="130" t="s">
        <v>6</v>
      </c>
      <c r="P12" s="130"/>
      <c r="Q12" s="130"/>
      <c r="R12" s="130"/>
      <c r="S12" s="131" t="str">
        <f>_xlfn.XLOOKUP($R$3,RESPUESTA_RP[CONSECUTIVO],RESPUESTA_RP[ENCARGADO EN SITIO],"")</f>
        <v>ALEJANDRO LARA</v>
      </c>
      <c r="T12" s="131"/>
      <c r="U12" s="131"/>
      <c r="V12" s="131"/>
      <c r="W12" s="131"/>
      <c r="X12" s="131"/>
      <c r="Y12" s="131"/>
      <c r="Z12" s="131"/>
    </row>
    <row r="13" spans="1:26" ht="27" customHeight="1" x14ac:dyDescent="0.25">
      <c r="A13" s="128" t="s">
        <v>7</v>
      </c>
      <c r="B13" s="128"/>
      <c r="C13" s="128"/>
      <c r="D13" s="128"/>
      <c r="E13" s="128"/>
      <c r="F13" s="132">
        <f>_xlfn.XLOOKUP($R$3,RESPUESTA_RP[CONSECUTIVO],RESPUESTA_RP[NÚMERO DE PERSONAS REQUERIDAS PARA EL CARGO],"")</f>
        <v>1</v>
      </c>
      <c r="G13" s="133"/>
      <c r="H13" s="136" t="s">
        <v>51</v>
      </c>
      <c r="I13" s="130" t="s">
        <v>34</v>
      </c>
      <c r="J13" s="130"/>
      <c r="K13" s="130" t="s">
        <v>52</v>
      </c>
      <c r="L13" s="130"/>
      <c r="M13" s="130"/>
      <c r="N13" s="64"/>
      <c r="O13" s="65"/>
      <c r="P13" s="66"/>
      <c r="Q13" s="130" t="s">
        <v>9</v>
      </c>
      <c r="R13" s="130"/>
      <c r="S13" s="130"/>
      <c r="T13" s="139"/>
      <c r="U13" s="141" t="s">
        <v>10</v>
      </c>
      <c r="V13" s="142"/>
      <c r="W13" s="142"/>
      <c r="X13" s="142"/>
      <c r="Y13" s="142"/>
      <c r="Z13" s="143"/>
    </row>
    <row r="14" spans="1:26" ht="20.100000000000001" customHeight="1" x14ac:dyDescent="0.25">
      <c r="A14" s="128"/>
      <c r="B14" s="128"/>
      <c r="C14" s="128"/>
      <c r="D14" s="128"/>
      <c r="E14" s="128"/>
      <c r="F14" s="134"/>
      <c r="G14" s="135"/>
      <c r="H14" s="136"/>
      <c r="I14" s="144" t="str">
        <f>IF(_xlfn.XLOOKUP($R$3, RESPUESTA_RP[CONSECUTIVO], RESPUESTA_RP[TSA], "", 0) = "APLICA","X","")</f>
        <v/>
      </c>
      <c r="J14" s="144"/>
      <c r="K14" s="51" t="str">
        <f>IF(_xlfn.XLOOKUP($R$3, RESPUESTA_RP[CONSECUTIVO], RESPUESTA_RP[TSA], "", 0) = "NO APLICA","X","")</f>
        <v>X</v>
      </c>
      <c r="L14" s="51"/>
      <c r="M14" s="51"/>
      <c r="N14" s="67"/>
      <c r="O14" s="68"/>
      <c r="P14" s="69"/>
      <c r="Q14" s="145" t="str">
        <f>_xlfn.XLOOKUP($R$3,RESPUESTA_RP[CONSECUTIVO],RESPUESTA_RP[DURACIÓN OBRA O CONTRATO],"")</f>
        <v>MAS DE 2 MESES</v>
      </c>
      <c r="R14" s="145"/>
      <c r="S14" s="145"/>
      <c r="T14" s="140"/>
      <c r="U14" s="7" t="s">
        <v>45</v>
      </c>
      <c r="V14" s="8">
        <f>_xlfn.XLOOKUP($R$3,RESPUESTA_RP[CONSECUTIVO],RESPUESTA_RP[DIA POSIBLE INGRESO],"")</f>
        <v>15</v>
      </c>
      <c r="W14" s="7" t="s">
        <v>53</v>
      </c>
      <c r="X14" s="9">
        <f>_xlfn.XLOOKUP($R$3,RESPUESTA_RP[CONSECUTIVO],RESPUESTA_RP[MES POSIBLE INGRESO],"")</f>
        <v>9</v>
      </c>
      <c r="Y14" s="7" t="s">
        <v>47</v>
      </c>
      <c r="Z14" s="10">
        <f>_xlfn.XLOOKUP($R$3,RESPUESTA_RP[CONSECUTIVO],RESPUESTA_RP[AÑO POSIBLE INGRESO],"")</f>
        <v>2025</v>
      </c>
    </row>
    <row r="15" spans="1:26" ht="10.5" customHeight="1" x14ac:dyDescent="0.25">
      <c r="A15" s="137"/>
      <c r="B15" s="138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7" t="s">
        <v>54</v>
      </c>
      <c r="T15" s="7" t="s">
        <v>57</v>
      </c>
      <c r="U15" s="146" t="s">
        <v>55</v>
      </c>
      <c r="V15" s="147"/>
      <c r="W15" s="146" t="s">
        <v>116</v>
      </c>
      <c r="X15" s="147"/>
      <c r="Y15" s="7" t="s">
        <v>115</v>
      </c>
      <c r="Z15" s="7" t="s">
        <v>56</v>
      </c>
    </row>
    <row r="16" spans="1:26" ht="24.95" customHeight="1" x14ac:dyDescent="0.25">
      <c r="A16" s="124" t="s">
        <v>58</v>
      </c>
      <c r="B16" s="125"/>
      <c r="C16" s="125"/>
      <c r="D16" s="125"/>
      <c r="E16" s="125"/>
      <c r="F16" s="125"/>
      <c r="G16" s="125"/>
      <c r="H16" s="125"/>
      <c r="I16" s="125"/>
      <c r="J16" s="125"/>
      <c r="K16" s="126"/>
      <c r="L16" s="80" t="s">
        <v>133</v>
      </c>
      <c r="M16" s="81"/>
      <c r="N16" s="81"/>
      <c r="O16" s="81"/>
      <c r="P16" s="11">
        <f>_xlfn.XLOOKUP($R$3,RESPUESTA_RP[CONSECUTIVO],RESPUESTA_RP[CENTRO DE COSTO],"")</f>
        <v>0</v>
      </c>
      <c r="Q16" s="80" t="s">
        <v>59</v>
      </c>
      <c r="R16" s="82"/>
      <c r="S16" s="6" t="str">
        <f>IF(
 _xlfn.XLOOKUP($R$3, RESPUESTA_RP[CONSECUTIVO], RESPUESTA_RP[AREA], "", 0) = "ADMINISTRACIÓN",
 "X",
 ""
)</f>
        <v/>
      </c>
      <c r="T16" s="6" t="str">
        <f>IF(
 _xlfn.XLOOKUP($R$3, RESPUESTA_RP[CONSECUTIVO], RESPUESTA_RP[AREA], "", 0) = "ADN",
 "X",
 ""
)</f>
        <v/>
      </c>
      <c r="U16" s="18" t="str">
        <f>IF(
 _xlfn.XLOOKUP($R$3, RESPUESTA_RP[CONSECUTIVO], RESPUESTA_RP[AREA], "", 0) = "COMERCIAL",
 "X",
 ""
)</f>
        <v>X</v>
      </c>
      <c r="V16" s="19"/>
      <c r="W16" s="18" t="str">
        <f>IF(
 _xlfn.XLOOKUP($R$3, RESPUESTA_RP[CONSECUTIVO], RESPUESTA_RP[AREA], "", 0) = "PRODUCCIÓN",
 "X",
 ""
)</f>
        <v/>
      </c>
      <c r="X16" s="19"/>
      <c r="Y16" s="6" t="str">
        <f>IF(
 _xlfn.XLOOKUP($R$3, RESPUESTA_RP[CONSECUTIVO], RESPUESTA_RP[AREA], "", 0) = "PROYECTOS",
 "X",
 ""
)</f>
        <v/>
      </c>
      <c r="Z16" s="6" t="str">
        <f>IF(
 _xlfn.XLOOKUP($R$3, RESPUESTA_RP[CONSECUTIVO], RESPUESTA_RP[AREA], "", 0) = "YAK",
 "X",
 ""
)</f>
        <v/>
      </c>
    </row>
    <row r="17" spans="1:26" ht="36" customHeight="1" x14ac:dyDescent="0.25">
      <c r="A17" s="53" t="s">
        <v>12</v>
      </c>
      <c r="B17" s="53"/>
      <c r="C17" s="127" t="str">
        <f>_xlfn.XLOOKUP($R$3,RESPUESTA_RP[CONSECUTIVO],RESPUESTA_RP[PERFIL "O"],"")</f>
        <v/>
      </c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</row>
    <row r="18" spans="1:26" ht="4.5" customHeight="1" x14ac:dyDescent="0.25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</row>
    <row r="19" spans="1:26" ht="23.25" customHeight="1" x14ac:dyDescent="0.25">
      <c r="A19" s="103" t="s">
        <v>60</v>
      </c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</row>
    <row r="20" spans="1:26" ht="18" customHeight="1" x14ac:dyDescent="0.25">
      <c r="A20" s="104" t="s">
        <v>61</v>
      </c>
      <c r="B20" s="104"/>
      <c r="C20" s="104"/>
      <c r="D20" s="104"/>
      <c r="E20" s="104"/>
      <c r="F20" s="104"/>
      <c r="G20" s="104"/>
      <c r="H20" s="105" t="str">
        <f>IF(_xlfn.XLOOKUP($R$3, RESPUESTA_RP[CONSECUTIVO], RESPUESTA_RP[POR FAVOR INDIQUE LA CAUSAL DE LA REQUISICIÓN], "", 0) = "CREACIÓN DE UN NUEVO CARGO","X","")</f>
        <v/>
      </c>
      <c r="I20" s="105"/>
      <c r="J20" s="106" t="s">
        <v>62</v>
      </c>
      <c r="K20" s="107"/>
      <c r="L20" s="107"/>
      <c r="M20" s="107"/>
      <c r="N20" s="107"/>
      <c r="O20" s="107"/>
      <c r="P20" s="107"/>
      <c r="Q20" s="108"/>
      <c r="R20" s="12" t="str">
        <f>IF(_xlfn.XLOOKUP($R$3, RESPUESTA_RP[CONSECUTIVO], RESPUESTA_RP[POR FAVOR INDIQUE LA CAUSAL DE LA REQUISICIÓN], "", 0) = "INCREMENTO OBRA / LABOR","X","")</f>
        <v>X</v>
      </c>
      <c r="S20" s="106" t="s">
        <v>63</v>
      </c>
      <c r="T20" s="107"/>
      <c r="U20" s="107"/>
      <c r="V20" s="107"/>
      <c r="W20" s="107"/>
      <c r="X20" s="108"/>
      <c r="Y20" s="109" t="str">
        <f>IF(_xlfn.XLOOKUP($R$3, RESPUESTA_RP[CONSECUTIVO], RESPUESTA_RP[POR FAVOR INDIQUE LA CAUSAL DE LA REQUISICIÓN], "", 0) = "REEMPLAZO POR INCAPACIDAD ARL","X","")</f>
        <v/>
      </c>
      <c r="Z20" s="110"/>
    </row>
    <row r="21" spans="1:26" ht="18" customHeight="1" x14ac:dyDescent="0.25">
      <c r="A21" s="104" t="s">
        <v>64</v>
      </c>
      <c r="B21" s="104"/>
      <c r="C21" s="104"/>
      <c r="D21" s="104"/>
      <c r="E21" s="104"/>
      <c r="F21" s="104"/>
      <c r="G21" s="104"/>
      <c r="H21" s="105" t="str">
        <f>IF(_xlfn.XLOOKUP($R$3, RESPUESTA_RP[CONSECUTIVO], RESPUESTA_RP[POR FAVOR INDIQUE LA CAUSAL DE LA REQUISICIÓN], "", 0) = "REEMPLAZO POR RETIRO VOLUNTARIO","X","")</f>
        <v/>
      </c>
      <c r="I21" s="105"/>
      <c r="J21" s="104" t="s">
        <v>65</v>
      </c>
      <c r="K21" s="104"/>
      <c r="L21" s="104"/>
      <c r="M21" s="104"/>
      <c r="N21" s="104"/>
      <c r="O21" s="104"/>
      <c r="P21" s="104"/>
      <c r="Q21" s="104"/>
      <c r="R21" s="12" t="str">
        <f>IF(_xlfn.XLOOKUP($R$3, RESPUESTA_RP[CONSECUTIVO], RESPUESTA_RP[POR FAVOR INDIQUE LA CAUSAL DE LA REQUISICIÓN], "", 0) = "REEMPLAZO POR MATERNIDAD","X","")</f>
        <v/>
      </c>
      <c r="S21" s="106" t="s">
        <v>66</v>
      </c>
      <c r="T21" s="107"/>
      <c r="U21" s="107"/>
      <c r="V21" s="107"/>
      <c r="W21" s="107"/>
      <c r="X21" s="108"/>
      <c r="Y21" s="109" t="str">
        <f>IF(_xlfn.XLOOKUP($R$3, RESPUESTA_RP[CONSECUTIVO], RESPUESTA_RP[POR FAVOR INDIQUE LA CAUSAL DE LA REQUISICIÓN], "", 0) = "REEMPLAZO POR INCAPACIDAD EPS","X","")</f>
        <v/>
      </c>
      <c r="Z21" s="110"/>
    </row>
    <row r="22" spans="1:26" ht="18" customHeight="1" x14ac:dyDescent="0.25">
      <c r="A22" s="104" t="s">
        <v>67</v>
      </c>
      <c r="B22" s="104"/>
      <c r="C22" s="104"/>
      <c r="D22" s="104"/>
      <c r="E22" s="104"/>
      <c r="F22" s="104"/>
      <c r="G22" s="104"/>
      <c r="H22" s="105" t="str">
        <f>IF(_xlfn.XLOOKUP($R$3, RESPUESTA_RP[CONSECUTIVO], RESPUESTA_RP[POR FAVOR INDIQUE LA CAUSAL DE LA REQUISICIÓN], "", 0) = "TERMINACIÓN DEL CONTRATO","X","")</f>
        <v/>
      </c>
      <c r="I22" s="105"/>
      <c r="J22" s="104" t="s">
        <v>68</v>
      </c>
      <c r="K22" s="104"/>
      <c r="L22" s="104"/>
      <c r="M22" s="104"/>
      <c r="N22" s="104"/>
      <c r="O22" s="104"/>
      <c r="P22" s="104"/>
      <c r="Q22" s="104"/>
      <c r="R22" s="12" t="str">
        <f>IF(_xlfn.XLOOKUP($R$3, RESPUESTA_RP[CONSECUTIVO], RESPUESTA_RP[POR FAVOR INDIQUE LA CAUSAL DE LA REQUISICIÓN], "", 0) = "REEMPLAZO POR VACACIONES","X","")</f>
        <v/>
      </c>
      <c r="S22" s="119"/>
      <c r="T22" s="120"/>
      <c r="U22" s="120"/>
      <c r="V22" s="120"/>
      <c r="W22" s="120"/>
      <c r="X22" s="121"/>
      <c r="Y22" s="122"/>
      <c r="Z22" s="123"/>
    </row>
    <row r="23" spans="1:26" ht="21" customHeight="1" x14ac:dyDescent="0.25">
      <c r="A23" s="114" t="s">
        <v>69</v>
      </c>
      <c r="B23" s="114"/>
      <c r="C23" s="114"/>
      <c r="D23" s="114"/>
      <c r="E23" s="114"/>
      <c r="F23" s="114"/>
      <c r="G23" s="114"/>
      <c r="H23" s="109" t="str">
        <f>IF(_xlfn.XLOOKUP($R$3, RESPUESTA_RP[CONSECUTIVO], RESPUESTA_RP[POR FAVOR INDIQUE LA CAUSAL DE LA REQUISICIÓN], "", 0) = "OTRO","X","")</f>
        <v/>
      </c>
      <c r="I23" s="110"/>
      <c r="J23" s="115" t="s">
        <v>70</v>
      </c>
      <c r="K23" s="116"/>
      <c r="L23" s="116"/>
      <c r="M23" s="116"/>
      <c r="N23" s="117" t="str">
        <f>IF(H23="X",_xlfn.XLOOKUP($R$3,RESPUESTA_RP[CONSECUTIVO],RESPUESTA_RP[POR FAVOR EXPLIQUE QUE OTRA RAZÓN ES LA CAUSAL DE LA REQUISICIÓN]," ",0)," ")</f>
        <v xml:space="preserve"> </v>
      </c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8"/>
    </row>
    <row r="24" spans="1:26" ht="6.75" customHeight="1" x14ac:dyDescent="0.25">
      <c r="A24" s="89"/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</row>
    <row r="25" spans="1:26" ht="23.25" customHeight="1" x14ac:dyDescent="0.25">
      <c r="A25" s="103" t="s">
        <v>71</v>
      </c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</row>
    <row r="26" spans="1:26" s="13" customFormat="1" ht="16.5" customHeight="1" x14ac:dyDescent="0.25">
      <c r="A26" s="53" t="s">
        <v>72</v>
      </c>
      <c r="B26" s="53"/>
      <c r="C26" s="53"/>
      <c r="D26" s="53"/>
      <c r="E26" s="53"/>
      <c r="F26" s="111" t="s">
        <v>73</v>
      </c>
      <c r="G26" s="111"/>
      <c r="H26" s="111"/>
      <c r="I26" s="111"/>
      <c r="J26" s="111" t="s">
        <v>74</v>
      </c>
      <c r="K26" s="111"/>
      <c r="L26" s="111"/>
      <c r="M26" s="111"/>
      <c r="N26" s="111"/>
      <c r="O26" s="111"/>
      <c r="P26" s="111" t="s">
        <v>75</v>
      </c>
      <c r="Q26" s="111"/>
      <c r="R26" s="111"/>
      <c r="S26" s="111"/>
      <c r="T26" s="111" t="s">
        <v>76</v>
      </c>
      <c r="U26" s="111"/>
      <c r="V26" s="111"/>
      <c r="W26" s="113" t="s">
        <v>77</v>
      </c>
      <c r="X26" s="113"/>
      <c r="Y26" s="113"/>
      <c r="Z26" s="113"/>
    </row>
    <row r="27" spans="1:26" s="13" customFormat="1" ht="20.25" customHeight="1" x14ac:dyDescent="0.25">
      <c r="A27" s="53"/>
      <c r="B27" s="53"/>
      <c r="C27" s="53"/>
      <c r="D27" s="53"/>
      <c r="E27" s="53"/>
      <c r="F27" s="52" t="str">
        <f>IFERROR(IF(AND(_xlfn.XLOOKUP($R$3,RESPUESTA_RP[CONSECUTIVO],RESPUESTA_RP[POR FAVOR SELECCIONE CUALES EQUIPOS DE OFICINA REQUIERE EL NUEVO COLABORADOR])&lt;&gt;"",
NOT(ISERROR(SEARCH("ESCRITORIO",_xlfn.XLOOKUP($R$3,RESPUESTA_RP[CONSECUTIVO],RESPUESTA_RP[POR FAVOR SELECCIONE CUALES EQUIPOS DE OFICINA REQUIERE EL NUEVO COLABORADOR]))))),
"X",""),"")</f>
        <v>X</v>
      </c>
      <c r="G27" s="52"/>
      <c r="H27" s="52"/>
      <c r="I27" s="52"/>
      <c r="J27" s="51" t="str">
        <f>IFERROR(IF(AND(_xlfn.XLOOKUP($R$3,RESPUESTA_RP[CONSECUTIVO],RESPUESTA_RP[POR FAVOR SELECCIONE CUALES EQUIPOS DE OFICINA REQUIERE EL NUEVO COLABORADOR])&lt;&gt;"",
NOT(ISERROR(SEARCH("LOCKER",_xlfn.XLOOKUP($R$3,RESPUESTA_RP[CONSECUTIVO],RESPUESTA_RP[POR FAVOR SELECCIONE CUALES EQUIPOS DE OFICINA REQUIERE EL NUEVO COLABORADOR]))))),
"X",""),"")</f>
        <v/>
      </c>
      <c r="K27" s="51"/>
      <c r="L27" s="51"/>
      <c r="M27" s="51"/>
      <c r="N27" s="51"/>
      <c r="O27" s="51"/>
      <c r="P27" s="52" t="str">
        <f>IFERROR(IF(AND(_xlfn.XLOOKUP($R$3,RESPUESTA_RP[CONSECUTIVO],RESPUESTA_RP[POR FAVOR SELECCIONE CUALES EQUIPOS DE OFICINA REQUIERE EL NUEVO COLABORADOR])&lt;&gt;"",
NOT(ISERROR(SEARCH("SILLA",_xlfn.XLOOKUP($R$3,RESPUESTA_RP[CONSECUTIVO],RESPUESTA_RP[POR FAVOR SELECCIONE CUALES EQUIPOS DE OFICINA REQUIERE EL NUEVO COLABORADOR]))))),
"X",""),"")</f>
        <v>X</v>
      </c>
      <c r="Q27" s="52"/>
      <c r="R27" s="52"/>
      <c r="S27" s="52"/>
      <c r="T27" s="52" t="str">
        <f>IFERROR(IF(AND(_xlfn.XLOOKUP($R$3,RESPUESTA_RP[CONSECUTIVO],RESPUESTA_RP[POR FAVOR SELECCIONE CUALES EQUIPOS DE OFICINA REQUIERE EL NUEVO COLABORADOR])&lt;&gt;"",
NOT(ISERROR(SEARCH("ARCHIVADOR",_xlfn.XLOOKUP($R$3,RESPUESTA_RP[CONSECUTIVO],RESPUESTA_RP[POR FAVOR SELECCIONE CUALES EQUIPOS DE OFICINA REQUIERE EL NUEVO COLABORADOR]))))),
"X",""),"")</f>
        <v/>
      </c>
      <c r="U27" s="52"/>
      <c r="V27" s="52"/>
      <c r="W27" s="52" t="str">
        <f>IFERROR(IF(AND(_xlfn.XLOOKUP($R$3,RESPUESTA_RP[CONSECUTIVO],RESPUESTA_RP[POR FAVOR SELECCIONE CUALES EQUIPOS DE OFICINA REQUIERE EL NUEVO COLABORADOR])&lt;&gt;"",
NOT(ISERROR(SEARCH("MÓDULO / OFICINA",_xlfn.XLOOKUP($R$3,RESPUESTA_RP[CONSECUTIVO],RESPUESTA_RP[POR FAVOR SELECCIONE CUALES EQUIPOS DE OFICINA REQUIERE EL NUEVO COLABORADOR]))))),
"X",""),"")</f>
        <v/>
      </c>
      <c r="X27" s="52"/>
      <c r="Y27" s="52"/>
      <c r="Z27" s="52"/>
    </row>
    <row r="28" spans="1:26" s="13" customFormat="1" ht="21" customHeight="1" x14ac:dyDescent="0.25">
      <c r="A28" s="53" t="s">
        <v>78</v>
      </c>
      <c r="B28" s="53"/>
      <c r="C28" s="53"/>
      <c r="D28" s="53"/>
      <c r="E28" s="53"/>
      <c r="F28" s="111" t="s">
        <v>79</v>
      </c>
      <c r="G28" s="111"/>
      <c r="H28" s="111"/>
      <c r="I28" s="111"/>
      <c r="J28" s="111" t="s">
        <v>80</v>
      </c>
      <c r="K28" s="111"/>
      <c r="L28" s="111"/>
      <c r="M28" s="111"/>
      <c r="N28" s="111"/>
      <c r="O28" s="111"/>
      <c r="P28" s="111" t="s">
        <v>81</v>
      </c>
      <c r="Q28" s="111"/>
      <c r="R28" s="111"/>
      <c r="S28" s="111"/>
      <c r="T28" s="111" t="s">
        <v>82</v>
      </c>
      <c r="U28" s="111"/>
      <c r="V28" s="111"/>
      <c r="W28" s="112" t="s">
        <v>83</v>
      </c>
      <c r="X28" s="112"/>
      <c r="Y28" s="112"/>
      <c r="Z28" s="112"/>
    </row>
    <row r="29" spans="1:26" s="13" customFormat="1" ht="20.25" customHeight="1" x14ac:dyDescent="0.25">
      <c r="A29" s="53"/>
      <c r="B29" s="53"/>
      <c r="C29" s="53"/>
      <c r="D29" s="53"/>
      <c r="E29" s="53"/>
      <c r="F29" s="52" t="str">
        <f>IFERROR(IF(AND(_xlfn.XLOOKUP($R$3,RESPUESTA_RP[CONSECUTIVO],RESPUESTA_RP[POR FAVOR SELECCIONE CUALES  EQUIPOS TECNOLÓGICOS REQUIERE EL NUEVO COLABORADOR])&lt;&gt;"",
NOT(ISERROR(SEARCH("EQUIPO DE DE CÓMPUTO DESKTOP",_xlfn.XLOOKUP($R$3,RESPUESTA_RP[CONSECUTIVO],RESPUESTA_RP[POR FAVOR SELECCIONE CUALES  EQUIPOS TECNOLÓGICOS REQUIERE EL NUEVO COLABORADOR]))))),
"X",""),"")</f>
        <v/>
      </c>
      <c r="G29" s="52"/>
      <c r="H29" s="52"/>
      <c r="I29" s="52"/>
      <c r="J29" s="51" t="str">
        <f>IFERROR(IF(AND(_xlfn.XLOOKUP($R$3,RESPUESTA_RP[CONSECUTIVO],RESPUESTA_RP[POR FAVOR SELECCIONE CUALES  EQUIPOS TECNOLÓGICOS REQUIERE EL NUEVO COLABORADOR])&lt;&gt;"",
NOT(ISERROR(SEARCH("EQUIPO DE DE CÓMPUTO PORTÁTIL",_xlfn.XLOOKUP($R$3,RESPUESTA_RP[CONSECUTIVO],RESPUESTA_RP[POR FAVOR SELECCIONE CUALES  EQUIPOS TECNOLÓGICOS REQUIERE EL NUEVO COLABORADOR]))))),
"X",""),"")</f>
        <v>X</v>
      </c>
      <c r="K29" s="51"/>
      <c r="L29" s="51"/>
      <c r="M29" s="51"/>
      <c r="N29" s="51"/>
      <c r="O29" s="51"/>
      <c r="P29" s="52" t="str">
        <f>IFERROR(IF(AND(_xlfn.XLOOKUP($R$3,RESPUESTA_RP[CONSECUTIVO],RESPUESTA_RP[POR FAVOR SELECCIONE CUALES  EQUIPOS TECNOLÓGICOS REQUIERE EL NUEVO COLABORADOR])&lt;&gt;"",
NOT(ISERROR(SEARCH("CORREO CORPORATIVO",_xlfn.XLOOKUP($R$3,RESPUESTA_RP[CONSECUTIVO],RESPUESTA_RP[POR FAVOR SELECCIONE CUALES  EQUIPOS TECNOLÓGICOS REQUIERE EL NUEVO COLABORADOR]))))),
"X",""),"")</f>
        <v>X</v>
      </c>
      <c r="Q29" s="52"/>
      <c r="R29" s="52"/>
      <c r="S29" s="52"/>
      <c r="T29" s="52" t="str">
        <f>IFERROR(IF(AND(_xlfn.XLOOKUP($R$3,RESPUESTA_RP[CONSECUTIVO],RESPUESTA_RP[POR FAVOR SELECCIONE CUALES  EQUIPOS TECNOLÓGICOS REQUIERE EL NUEVO COLABORADOR])&lt;&gt;"",
NOT(ISERROR(SEARCH("USUARIO DE RED",_xlfn.XLOOKUP($R$3,RESPUESTA_RP[CONSECUTIVO],RESPUESTA_RP[POR FAVOR SELECCIONE CUALES  EQUIPOS TECNOLÓGICOS REQUIERE EL NUEVO COLABORADOR]))))),
"X",""),"")</f>
        <v>X</v>
      </c>
      <c r="U29" s="52"/>
      <c r="V29" s="52"/>
      <c r="W29" s="52" t="str">
        <f>IFERROR(IF(AND(_xlfn.XLOOKUP($R$3,RESPUESTA_RP[CONSECUTIVO],RESPUESTA_RP[POR FAVOR SELECCIONE CUALES  EQUIPOS TECNOLÓGICOS REQUIERE EL NUEVO COLABORADOR])&lt;&gt;"",
NOT(ISERROR(SEARCH("EXT: PANTALLA, MOUSE, TECLADO",_xlfn.XLOOKUP($R$3,RESPUESTA_RP[CONSECUTIVO],RESPUESTA_RP[POR FAVOR SELECCIONE CUALES  EQUIPOS TECNOLÓGICOS REQUIERE EL NUEVO COLABORADOR]))))),
"X",""),"")</f>
        <v>X</v>
      </c>
      <c r="X29" s="52"/>
      <c r="Y29" s="52"/>
      <c r="Z29" s="52"/>
    </row>
    <row r="30" spans="1:26" s="13" customFormat="1" ht="17.25" customHeight="1" x14ac:dyDescent="0.25">
      <c r="A30" s="53" t="s">
        <v>110</v>
      </c>
      <c r="B30" s="53"/>
      <c r="C30" s="53"/>
      <c r="D30" s="53"/>
      <c r="E30" s="53"/>
      <c r="F30" s="54" t="s">
        <v>84</v>
      </c>
      <c r="G30" s="55"/>
      <c r="H30" s="55"/>
      <c r="I30" s="56"/>
      <c r="J30" s="57" t="s">
        <v>85</v>
      </c>
      <c r="K30" s="58"/>
      <c r="L30" s="58"/>
      <c r="M30" s="58"/>
      <c r="N30" s="59"/>
      <c r="O30" s="100" t="str">
        <f>IF(_xlfn.XLOOKUP($R$3,RESPUESTA_RP[CONSECUTIVO],RESPUESTA_RP[SELECCIONE EL TIPO DE PLAN NECESITADO],"",0)="PLAN BÁSICO","X","")</f>
        <v>X</v>
      </c>
      <c r="P30" s="102" t="s">
        <v>86</v>
      </c>
      <c r="Q30" s="102"/>
      <c r="R30" s="102"/>
      <c r="S30" s="52" t="str">
        <f>IF(_xlfn.XLOOKUP($R$3,RESPUESTA_RP[CONSECUTIVO],RESPUESTA_RP[SELECCIONE EL TIPO DE PLAN NECESITADO],"",0)="PLAN MEDIO","X","")</f>
        <v/>
      </c>
      <c r="T30" s="102" t="s">
        <v>87</v>
      </c>
      <c r="U30" s="102"/>
      <c r="V30" s="52" t="str">
        <f>IF(_xlfn.XLOOKUP($R$3,RESPUESTA_RP[CONSECUTIVO],RESPUESTA_RP[SELECCIONE EL TIPO DE PLAN NECESITADO],"",0)="PLAN ALTO","X","")</f>
        <v/>
      </c>
      <c r="W30" s="20"/>
      <c r="X30" s="21"/>
      <c r="Y30" s="21"/>
      <c r="Z30" s="22"/>
    </row>
    <row r="31" spans="1:26" s="13" customFormat="1" ht="20.25" customHeight="1" x14ac:dyDescent="0.25">
      <c r="A31" s="53"/>
      <c r="B31" s="53"/>
      <c r="C31" s="53"/>
      <c r="D31" s="53"/>
      <c r="E31" s="53"/>
      <c r="F31" s="26" t="str">
        <f>IFERROR(IF(_xlfn.XLOOKUP($R$3,RESPUESTA_RP[CONSECUTIVO],RESPUESTA_RP[REQUIERE SIMCARD])="SI","X"," "),"")</f>
        <v>X</v>
      </c>
      <c r="G31" s="26"/>
      <c r="H31" s="26"/>
      <c r="I31" s="26"/>
      <c r="J31" s="60"/>
      <c r="K31" s="61"/>
      <c r="L31" s="61"/>
      <c r="M31" s="61"/>
      <c r="N31" s="62"/>
      <c r="O31" s="101"/>
      <c r="P31" s="102"/>
      <c r="Q31" s="102"/>
      <c r="R31" s="102"/>
      <c r="S31" s="52"/>
      <c r="T31" s="102"/>
      <c r="U31" s="102"/>
      <c r="V31" s="52"/>
      <c r="W31" s="23"/>
      <c r="X31" s="24"/>
      <c r="Y31" s="24"/>
      <c r="Z31" s="25"/>
    </row>
    <row r="32" spans="1:26" s="13" customFormat="1" ht="17.25" customHeight="1" x14ac:dyDescent="0.25">
      <c r="A32" s="53" t="s">
        <v>119</v>
      </c>
      <c r="B32" s="53"/>
      <c r="C32" s="53"/>
      <c r="D32" s="53"/>
      <c r="E32" s="53"/>
      <c r="F32" s="54" t="s">
        <v>120</v>
      </c>
      <c r="G32" s="55"/>
      <c r="H32" s="55"/>
      <c r="I32" s="56"/>
      <c r="J32" s="57" t="s">
        <v>121</v>
      </c>
      <c r="K32" s="58"/>
      <c r="L32" s="58"/>
      <c r="M32" s="58"/>
      <c r="N32" s="59"/>
      <c r="O32" s="94" t="str">
        <f>_xlfn.XLOOKUP($R$3,RESPUESTA_RP[CONSECUTIVO],RESPUESTA_RP[INDIQUE LOS PROGRAMAS ESPECIALES QUE REQUIERE:],"")</f>
        <v/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6"/>
    </row>
    <row r="33" spans="1:26" s="13" customFormat="1" ht="20.25" customHeight="1" x14ac:dyDescent="0.25">
      <c r="A33" s="53"/>
      <c r="B33" s="53"/>
      <c r="C33" s="53"/>
      <c r="D33" s="53"/>
      <c r="E33" s="53"/>
      <c r="F33" s="26" t="str">
        <f>IFERROR(IF(_xlfn.XLOOKUP($R$3,RESPUESTA_RP[CONSECUTIVO],RESPUESTA_RP[REQUIERE SIMCARD])="SI","X"," "),"")</f>
        <v>X</v>
      </c>
      <c r="G33" s="26"/>
      <c r="H33" s="26"/>
      <c r="I33" s="26"/>
      <c r="J33" s="60"/>
      <c r="K33" s="61"/>
      <c r="L33" s="61"/>
      <c r="M33" s="61"/>
      <c r="N33" s="62"/>
      <c r="O33" s="97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9"/>
    </row>
    <row r="34" spans="1:26" ht="5.25" customHeight="1" x14ac:dyDescent="0.25">
      <c r="A34" s="89"/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</row>
    <row r="35" spans="1:26" ht="23.25" customHeight="1" x14ac:dyDescent="0.25">
      <c r="A35" s="90" t="s">
        <v>111</v>
      </c>
      <c r="B35" s="90"/>
      <c r="C35" s="90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</row>
    <row r="36" spans="1:26" s="14" customFormat="1" ht="18" customHeight="1" x14ac:dyDescent="0.25">
      <c r="A36" s="91" t="s">
        <v>27</v>
      </c>
      <c r="B36" s="92"/>
      <c r="C36" s="92"/>
      <c r="D36" s="92"/>
      <c r="E36" s="92"/>
      <c r="F36" s="92"/>
      <c r="G36" s="92"/>
      <c r="H36" s="93"/>
      <c r="I36" s="47"/>
      <c r="J36" s="85" t="s">
        <v>29</v>
      </c>
      <c r="K36" s="85"/>
      <c r="L36" s="85"/>
      <c r="M36" s="85"/>
      <c r="N36" s="85"/>
      <c r="O36" s="85"/>
      <c r="P36" s="85"/>
      <c r="Q36" s="85"/>
      <c r="R36" s="49"/>
      <c r="S36" s="85" t="s">
        <v>30</v>
      </c>
      <c r="T36" s="85"/>
      <c r="U36" s="85"/>
      <c r="V36" s="85"/>
      <c r="W36" s="85"/>
      <c r="X36" s="85"/>
      <c r="Y36" s="85"/>
      <c r="Z36" s="85"/>
    </row>
    <row r="37" spans="1:26" ht="20.25" customHeight="1" x14ac:dyDescent="0.25">
      <c r="A37" s="80" t="s">
        <v>88</v>
      </c>
      <c r="B37" s="81"/>
      <c r="C37" s="82"/>
      <c r="D37" s="86">
        <f>_xlfn.XLOOKUP($R$3,RESPUESTA_RP[CONSECUTIVO],RESPUESTA_RP[SALARIO ASIGNADO],"",0)</f>
        <v>3500000</v>
      </c>
      <c r="E37" s="87"/>
      <c r="F37" s="87"/>
      <c r="G37" s="87"/>
      <c r="H37" s="88"/>
      <c r="I37" s="48"/>
      <c r="J37" s="44" t="s">
        <v>38</v>
      </c>
      <c r="K37" s="44"/>
      <c r="L37" s="44"/>
      <c r="M37" s="44"/>
      <c r="N37" s="44"/>
      <c r="O37" s="44"/>
      <c r="P37" s="44"/>
      <c r="Q37" s="15" t="str">
        <f>IF(_xlfn.XLOOKUP($R$3,RESPUESTA_RP[CONSECUTIVO],RESPUESTA_RP[MODALIDAD DE CONTRATACIÓN],"",0)="DIRECTO POR REFRIDCOL","X","")</f>
        <v>X</v>
      </c>
      <c r="R37" s="50"/>
      <c r="S37" s="44" t="s">
        <v>112</v>
      </c>
      <c r="T37" s="44"/>
      <c r="U37" s="44"/>
      <c r="V37" s="44"/>
      <c r="W37" s="44"/>
      <c r="X37" s="44"/>
      <c r="Y37" s="44"/>
      <c r="Z37" s="15" t="str">
        <f>IF(_xlfn.XLOOKUP($R$3,RESPUESTA_RP[CONSECUTIVO],RESPUESTA_RP[TIPO DE CONTRATACIÓN],"",0)="CONTRATO FIJO INFERIOR A 1 AÑO","X","")</f>
        <v>X</v>
      </c>
    </row>
    <row r="38" spans="1:26" ht="19.5" customHeight="1" x14ac:dyDescent="0.25">
      <c r="D38" s="45"/>
      <c r="E38" s="45"/>
      <c r="F38" s="45"/>
      <c r="G38" s="45"/>
      <c r="H38" s="45"/>
      <c r="I38" s="48"/>
      <c r="J38" s="44" t="s">
        <v>89</v>
      </c>
      <c r="K38" s="44"/>
      <c r="L38" s="44"/>
      <c r="M38" s="44"/>
      <c r="N38" s="44"/>
      <c r="O38" s="44"/>
      <c r="P38" s="44"/>
      <c r="Q38" s="15" t="str">
        <f>IF(_xlfn.XLOOKUP($R$3,RESPUESTA_RP[CONSECUTIVO],RESPUESTA_RP[MODALIDAD DE CONTRATACIÓN],"",0)="AGENCIA TEMPORAL","X","")</f>
        <v/>
      </c>
      <c r="R38" s="50"/>
      <c r="S38" s="44" t="s">
        <v>90</v>
      </c>
      <c r="T38" s="44"/>
      <c r="U38" s="44"/>
      <c r="V38" s="44"/>
      <c r="W38" s="44"/>
      <c r="X38" s="44"/>
      <c r="Y38" s="44"/>
      <c r="Z38" s="15" t="str">
        <f>IF(_xlfn.XLOOKUP($R$3,RESPUESTA_RP[CONSECUTIVO],RESPUESTA_RP[TIPO DE CONTRATACIÓN],"",0)="CONTRATO OBRA LABOR","X","")</f>
        <v/>
      </c>
    </row>
    <row r="39" spans="1:26" ht="19.5" customHeight="1" x14ac:dyDescent="0.25">
      <c r="A39" s="80" t="s">
        <v>28</v>
      </c>
      <c r="B39" s="81"/>
      <c r="C39" s="82"/>
      <c r="D39" s="16" t="s">
        <v>91</v>
      </c>
      <c r="E39" s="83" t="str">
        <f>IF(_xlfn.XLOOKUP($R$3,RESPUESTA_RP[CONSECUTIVO],RESPUESTA_RP[HORAS EXTRAS],"",0)="SI","X","")</f>
        <v/>
      </c>
      <c r="F39" s="83"/>
      <c r="G39" s="16" t="s">
        <v>92</v>
      </c>
      <c r="H39" s="15" t="str">
        <f>IF(_xlfn.XLOOKUP($R$3,RESPUESTA_RP[CONSECUTIVO],RESPUESTA_RP[HORAS EXTRAS],"",0)="NO","X","")</f>
        <v>X</v>
      </c>
      <c r="I39" s="48"/>
      <c r="J39" s="44" t="s">
        <v>93</v>
      </c>
      <c r="K39" s="44"/>
      <c r="L39" s="44"/>
      <c r="M39" s="44"/>
      <c r="N39" s="44"/>
      <c r="O39" s="44"/>
      <c r="P39" s="44"/>
      <c r="Q39" s="15" t="str">
        <f>IF(_xlfn.XLOOKUP($R$3,RESPUESTA_RP[CONSECUTIVO],RESPUESTA_RP[MODALIDAD DE CONTRATACIÓN],"",0)="APRENDIZ CONVENIO SENA","X","")</f>
        <v/>
      </c>
      <c r="R39" s="50"/>
      <c r="S39" s="44" t="s">
        <v>134</v>
      </c>
      <c r="T39" s="44"/>
      <c r="U39" s="44"/>
      <c r="V39" s="44"/>
      <c r="W39" s="44"/>
      <c r="X39" s="44"/>
      <c r="Y39" s="44"/>
      <c r="Z39" s="15" t="str">
        <f>IF(_xlfn.XLOOKUP($R$3,RESPUESTA_RP[CONSECUTIVO],RESPUESTA_RP[TIPO DE CONTRATACIÓN],"",0)="CONTRATO INDEFINIDO","X","")</f>
        <v/>
      </c>
    </row>
    <row r="40" spans="1:26" ht="9.75" customHeight="1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spans="1:26" ht="24" customHeight="1" x14ac:dyDescent="0.25">
      <c r="A41" s="84" t="s">
        <v>94</v>
      </c>
      <c r="B41" s="84"/>
      <c r="C41" s="84"/>
      <c r="D41" s="84"/>
      <c r="E41" s="84"/>
      <c r="F41" s="35" t="s">
        <v>95</v>
      </c>
      <c r="G41" s="36"/>
      <c r="H41" s="36"/>
      <c r="I41" s="36"/>
      <c r="J41" s="36"/>
      <c r="K41" s="37"/>
      <c r="L41" s="27" t="s">
        <v>96</v>
      </c>
      <c r="M41" s="28"/>
      <c r="N41" s="28"/>
      <c r="O41" s="28"/>
      <c r="P41" s="28"/>
      <c r="Q41" s="29"/>
      <c r="R41" s="70" t="s">
        <v>97</v>
      </c>
      <c r="S41" s="70"/>
      <c r="T41" s="70"/>
      <c r="U41" s="70"/>
      <c r="V41" s="71"/>
      <c r="W41" s="85" t="s">
        <v>98</v>
      </c>
      <c r="X41" s="85"/>
      <c r="Y41" s="85"/>
      <c r="Z41" s="85"/>
    </row>
    <row r="42" spans="1:26" s="14" customFormat="1" ht="20.100000000000001" customHeight="1" x14ac:dyDescent="0.25">
      <c r="A42" s="84"/>
      <c r="B42" s="84"/>
      <c r="C42" s="84"/>
      <c r="D42" s="84"/>
      <c r="E42" s="84"/>
      <c r="F42" s="38">
        <f>_xlfn.XLOOKUP($R$3,RESPUESTA_RP[CONSECUTIVO],RESPUESTA_RP[AUXILIO MOVILIZACIÓN],0,0)</f>
        <v>500000</v>
      </c>
      <c r="G42" s="39"/>
      <c r="H42" s="39"/>
      <c r="I42" s="39"/>
      <c r="J42" s="39"/>
      <c r="K42" s="40"/>
      <c r="L42" s="30">
        <f>_xlfn.XLOOKUP($R$3,RESPUESTA_RP[CONSECUTIVO],RESPUESTA_RP[AUXILIO ALIMENTACIÓN],0,0)</f>
        <v>0</v>
      </c>
      <c r="M42" s="31"/>
      <c r="N42" s="31"/>
      <c r="O42" s="31"/>
      <c r="P42" s="31"/>
      <c r="Q42" s="32"/>
      <c r="R42" s="30">
        <f>_xlfn.XLOOKUP($R$3,RESPUESTA_RP[CONSECUTIVO],RESPUESTA_RP[AUXILIO VIVIENDA],0,0)</f>
        <v>0</v>
      </c>
      <c r="S42" s="31"/>
      <c r="T42" s="31"/>
      <c r="U42" s="31"/>
      <c r="V42" s="31"/>
      <c r="W42" s="76">
        <f>SUM(F42:V42)</f>
        <v>500000</v>
      </c>
      <c r="X42" s="76"/>
      <c r="Y42" s="76"/>
      <c r="Z42" s="76"/>
    </row>
    <row r="43" spans="1:26" s="17" customFormat="1" ht="18" customHeight="1" x14ac:dyDescent="0.25">
      <c r="A43" s="84"/>
      <c r="B43" s="84"/>
      <c r="C43" s="84"/>
      <c r="D43" s="84"/>
      <c r="E43" s="84"/>
      <c r="F43" s="41" t="s">
        <v>99</v>
      </c>
      <c r="G43" s="42"/>
      <c r="H43" s="43"/>
      <c r="I43" s="33" t="s">
        <v>100</v>
      </c>
      <c r="J43" s="33"/>
      <c r="K43" s="34"/>
      <c r="L43" s="77" t="s">
        <v>99</v>
      </c>
      <c r="M43" s="78"/>
      <c r="N43" s="78"/>
      <c r="O43" s="79"/>
      <c r="P43" s="33" t="s">
        <v>100</v>
      </c>
      <c r="Q43" s="34"/>
      <c r="R43" s="33" t="s">
        <v>99</v>
      </c>
      <c r="S43" s="33"/>
      <c r="T43" s="34"/>
      <c r="U43" s="72" t="s">
        <v>100</v>
      </c>
      <c r="V43" s="34"/>
      <c r="W43" s="76"/>
      <c r="X43" s="76"/>
      <c r="Y43" s="76"/>
      <c r="Z43" s="76"/>
    </row>
    <row r="44" spans="1:26" ht="5.25" customHeight="1" x14ac:dyDescent="0.25">
      <c r="A44" s="73"/>
      <c r="B44" s="73"/>
      <c r="C44" s="73"/>
      <c r="D44" s="73"/>
      <c r="E44" s="73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3"/>
      <c r="Y44" s="73"/>
      <c r="Z44" s="73"/>
    </row>
    <row r="45" spans="1:26" ht="18.75" customHeight="1" x14ac:dyDescent="0.25">
      <c r="A45" s="75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</row>
    <row r="46" spans="1:26" ht="18.75" customHeight="1" x14ac:dyDescent="0.25">
      <c r="A46" s="75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</row>
    <row r="47" spans="1:26" ht="19.5" customHeight="1" x14ac:dyDescent="0.25">
      <c r="A47" s="75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</row>
    <row r="48" spans="1:26" ht="18.75" customHeight="1" x14ac:dyDescent="0.25">
      <c r="A48" s="63" t="s">
        <v>101</v>
      </c>
      <c r="B48" s="63"/>
      <c r="C48" s="63"/>
      <c r="D48" s="63"/>
      <c r="E48" s="63"/>
      <c r="F48" s="63"/>
      <c r="G48" s="63"/>
      <c r="H48" s="63"/>
      <c r="I48" s="63" t="s">
        <v>102</v>
      </c>
      <c r="J48" s="63"/>
      <c r="K48" s="63"/>
      <c r="L48" s="63"/>
      <c r="M48" s="63"/>
      <c r="N48" s="63"/>
      <c r="O48" s="63"/>
      <c r="P48" s="63"/>
      <c r="Q48" s="63"/>
      <c r="R48" s="63" t="s">
        <v>103</v>
      </c>
      <c r="S48" s="63"/>
      <c r="T48" s="63"/>
      <c r="U48" s="63"/>
      <c r="V48" s="63"/>
      <c r="W48" s="63"/>
      <c r="X48" s="63"/>
      <c r="Y48" s="63"/>
      <c r="Z48" s="63"/>
    </row>
    <row r="49" ht="15" customHeight="1" x14ac:dyDescent="0.25"/>
    <row r="50" ht="15" customHeight="1" x14ac:dyDescent="0.25"/>
    <row r="51" ht="15" customHeight="1" x14ac:dyDescent="0.25"/>
  </sheetData>
  <sheetProtection selectLockedCells="1"/>
  <protectedRanges>
    <protectedRange sqref="F9:K9 O9:T9 F11:N12 S11:Z12 Q13:T14 V14 X14 Z14 F13 I14:O14 P16 AA16 C17 H39 E39 F42 Z37:Z39 F27:Z27 F29:Z29 F33 N23 Q37:Q39 H20:M23 P20:R23 N20:O22 D37:H38 S21:X21 S23:Z23 Y20:Z22 F31 O30:O33 S30:S33 V30:W33" name="Rango1"/>
  </protectedRanges>
  <mergeCells count="154">
    <mergeCell ref="A1:D6"/>
    <mergeCell ref="E1:Q6"/>
    <mergeCell ref="R1:T2"/>
    <mergeCell ref="U1:W2"/>
    <mergeCell ref="X1:Z2"/>
    <mergeCell ref="R3:T6"/>
    <mergeCell ref="U3:W4"/>
    <mergeCell ref="X3:Z4"/>
    <mergeCell ref="U5:W6"/>
    <mergeCell ref="X5:Z6"/>
    <mergeCell ref="Q9:S9"/>
    <mergeCell ref="T9:Z9"/>
    <mergeCell ref="A10:Z10"/>
    <mergeCell ref="A11:E11"/>
    <mergeCell ref="F11:N11"/>
    <mergeCell ref="O11:R11"/>
    <mergeCell ref="S11:Z11"/>
    <mergeCell ref="A7:Z7"/>
    <mergeCell ref="A8:E9"/>
    <mergeCell ref="F8:G8"/>
    <mergeCell ref="I8:K8"/>
    <mergeCell ref="O8:P8"/>
    <mergeCell ref="Q8:S8"/>
    <mergeCell ref="T8:Z8"/>
    <mergeCell ref="F9:G9"/>
    <mergeCell ref="I9:K9"/>
    <mergeCell ref="O9:P9"/>
    <mergeCell ref="A16:K16"/>
    <mergeCell ref="A17:B17"/>
    <mergeCell ref="C17:Z17"/>
    <mergeCell ref="L16:O16"/>
    <mergeCell ref="Q16:R16"/>
    <mergeCell ref="A12:E12"/>
    <mergeCell ref="F12:N12"/>
    <mergeCell ref="O12:R12"/>
    <mergeCell ref="S12:Z12"/>
    <mergeCell ref="A13:E14"/>
    <mergeCell ref="F13:G14"/>
    <mergeCell ref="H13:H14"/>
    <mergeCell ref="I13:J13"/>
    <mergeCell ref="K13:M13"/>
    <mergeCell ref="A15:R15"/>
    <mergeCell ref="Q13:S13"/>
    <mergeCell ref="T13:T14"/>
    <mergeCell ref="U13:Z13"/>
    <mergeCell ref="I14:J14"/>
    <mergeCell ref="K14:M14"/>
    <mergeCell ref="Q14:S14"/>
    <mergeCell ref="U15:V15"/>
    <mergeCell ref="U16:V16"/>
    <mergeCell ref="W15:X15"/>
    <mergeCell ref="A23:G23"/>
    <mergeCell ref="H23:I23"/>
    <mergeCell ref="J23:M23"/>
    <mergeCell ref="N23:Z23"/>
    <mergeCell ref="A24:Z24"/>
    <mergeCell ref="A25:Z25"/>
    <mergeCell ref="A21:G21"/>
    <mergeCell ref="H21:I21"/>
    <mergeCell ref="J21:Q21"/>
    <mergeCell ref="S21:X21"/>
    <mergeCell ref="Y21:Z21"/>
    <mergeCell ref="A22:G22"/>
    <mergeCell ref="H22:I22"/>
    <mergeCell ref="J22:Q22"/>
    <mergeCell ref="S22:X22"/>
    <mergeCell ref="Y22:Z22"/>
    <mergeCell ref="A18:Z18"/>
    <mergeCell ref="A19:Z19"/>
    <mergeCell ref="A20:G20"/>
    <mergeCell ref="H20:I20"/>
    <mergeCell ref="J20:Q20"/>
    <mergeCell ref="S20:X20"/>
    <mergeCell ref="Y20:Z20"/>
    <mergeCell ref="W27:Z27"/>
    <mergeCell ref="A28:E29"/>
    <mergeCell ref="F28:I28"/>
    <mergeCell ref="J28:O28"/>
    <mergeCell ref="P28:S28"/>
    <mergeCell ref="T28:V28"/>
    <mergeCell ref="W28:Z28"/>
    <mergeCell ref="F29:I29"/>
    <mergeCell ref="J29:O29"/>
    <mergeCell ref="P29:S29"/>
    <mergeCell ref="A26:E27"/>
    <mergeCell ref="F26:I26"/>
    <mergeCell ref="J26:O26"/>
    <mergeCell ref="P26:S26"/>
    <mergeCell ref="T26:V26"/>
    <mergeCell ref="W26:Z26"/>
    <mergeCell ref="F27:I27"/>
    <mergeCell ref="S38:Y38"/>
    <mergeCell ref="F33:I33"/>
    <mergeCell ref="A34:Z34"/>
    <mergeCell ref="A35:Z35"/>
    <mergeCell ref="A36:H36"/>
    <mergeCell ref="J36:Q36"/>
    <mergeCell ref="S36:Z36"/>
    <mergeCell ref="O32:Z33"/>
    <mergeCell ref="A30:E31"/>
    <mergeCell ref="F30:I30"/>
    <mergeCell ref="J30:N31"/>
    <mergeCell ref="O30:O31"/>
    <mergeCell ref="P30:R31"/>
    <mergeCell ref="S30:S31"/>
    <mergeCell ref="T30:U31"/>
    <mergeCell ref="A48:H48"/>
    <mergeCell ref="I48:Q48"/>
    <mergeCell ref="R48:Z48"/>
    <mergeCell ref="N13:P14"/>
    <mergeCell ref="R41:V41"/>
    <mergeCell ref="R42:V42"/>
    <mergeCell ref="R43:T43"/>
    <mergeCell ref="U43:V43"/>
    <mergeCell ref="A44:Z44"/>
    <mergeCell ref="A45:H47"/>
    <mergeCell ref="I45:Q47"/>
    <mergeCell ref="R45:Z47"/>
    <mergeCell ref="W42:Z43"/>
    <mergeCell ref="L43:O43"/>
    <mergeCell ref="A39:C39"/>
    <mergeCell ref="E39:F39"/>
    <mergeCell ref="J39:P39"/>
    <mergeCell ref="S39:Y39"/>
    <mergeCell ref="A41:E43"/>
    <mergeCell ref="W41:Z41"/>
    <mergeCell ref="A37:C37"/>
    <mergeCell ref="D37:H37"/>
    <mergeCell ref="J37:P37"/>
    <mergeCell ref="V30:V31"/>
    <mergeCell ref="W16:X16"/>
    <mergeCell ref="W30:Z31"/>
    <mergeCell ref="F31:I31"/>
    <mergeCell ref="L41:Q41"/>
    <mergeCell ref="L42:Q42"/>
    <mergeCell ref="P43:Q43"/>
    <mergeCell ref="F41:K41"/>
    <mergeCell ref="F42:K42"/>
    <mergeCell ref="F43:H43"/>
    <mergeCell ref="I43:K43"/>
    <mergeCell ref="S37:Y37"/>
    <mergeCell ref="D38:H38"/>
    <mergeCell ref="A40:Z40"/>
    <mergeCell ref="I36:I39"/>
    <mergeCell ref="R36:R39"/>
    <mergeCell ref="J27:O27"/>
    <mergeCell ref="P27:S27"/>
    <mergeCell ref="T27:V27"/>
    <mergeCell ref="T29:V29"/>
    <mergeCell ref="W29:Z29"/>
    <mergeCell ref="A32:E33"/>
    <mergeCell ref="F32:I32"/>
    <mergeCell ref="J32:N33"/>
    <mergeCell ref="J38:P38"/>
  </mergeCells>
  <pageMargins left="0.11811023622047245" right="0.11811023622047245" top="0.15748031496062992" bottom="0.15748031496062992" header="0.31496062992125984" footer="0.31496062992125984"/>
  <pageSetup scale="71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_RESPUESTA_RP">
                <anchor moveWithCells="1" sizeWithCells="1">
                  <from>
                    <xdr:col>27</xdr:col>
                    <xdr:colOff>85725</xdr:colOff>
                    <xdr:row>0</xdr:row>
                    <xdr:rowOff>133350</xdr:rowOff>
                  </from>
                  <to>
                    <xdr:col>28</xdr:col>
                    <xdr:colOff>752475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rimirYLimpiar">
                <anchor moveWithCells="1" sizeWithCells="1">
                  <from>
                    <xdr:col>27</xdr:col>
                    <xdr:colOff>85725</xdr:colOff>
                    <xdr:row>5</xdr:row>
                    <xdr:rowOff>76200</xdr:rowOff>
                  </from>
                  <to>
                    <xdr:col>28</xdr:col>
                    <xdr:colOff>752475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DFYLimpiar">
                <anchor moveWithCells="1" sizeWithCells="1">
                  <from>
                    <xdr:col>27</xdr:col>
                    <xdr:colOff>85725</xdr:colOff>
                    <xdr:row>10</xdr:row>
                    <xdr:rowOff>38100</xdr:rowOff>
                  </from>
                  <to>
                    <xdr:col>28</xdr:col>
                    <xdr:colOff>752475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3CA77-8D72-43CA-BB43-5CE1E52795F5}">
  <sheetPr codeName="Hoja2"/>
  <dimension ref="A1:AX31"/>
  <sheetViews>
    <sheetView workbookViewId="0">
      <selection activeCell="D6" sqref="D6"/>
    </sheetView>
  </sheetViews>
  <sheetFormatPr baseColWidth="10" defaultRowHeight="15" x14ac:dyDescent="0.25"/>
  <cols>
    <col min="1" max="1" width="16.85546875" bestFit="1" customWidth="1"/>
    <col min="2" max="2" width="25.140625" bestFit="1" customWidth="1"/>
    <col min="3" max="3" width="11.5703125" bestFit="1" customWidth="1"/>
    <col min="4" max="4" width="6.140625" bestFit="1" customWidth="1"/>
    <col min="5" max="5" width="28.85546875" bestFit="1" customWidth="1"/>
    <col min="6" max="6" width="28" bestFit="1" customWidth="1"/>
    <col min="7" max="7" width="41.42578125" bestFit="1" customWidth="1"/>
    <col min="8" max="8" width="24" bestFit="1" customWidth="1"/>
    <col min="9" max="9" width="53" bestFit="1" customWidth="1"/>
    <col min="10" max="10" width="10.42578125" bestFit="1" customWidth="1"/>
    <col min="11" max="11" width="31.7109375" bestFit="1" customWidth="1"/>
    <col min="12" max="12" width="28.5703125" bestFit="1" customWidth="1"/>
    <col min="13" max="13" width="21.140625" bestFit="1" customWidth="1"/>
    <col min="14" max="14" width="23" bestFit="1" customWidth="1"/>
    <col min="15" max="15" width="16.7109375" bestFit="1" customWidth="1"/>
    <col min="16" max="16" width="39.42578125" bestFit="1" customWidth="1"/>
    <col min="17" max="17" width="45.85546875" bestFit="1" customWidth="1"/>
    <col min="18" max="18" width="53.5703125" bestFit="1" customWidth="1"/>
    <col min="19" max="19" width="39.140625" bestFit="1" customWidth="1"/>
    <col min="20" max="20" width="38.7109375" bestFit="1" customWidth="1"/>
    <col min="21" max="21" width="38.5703125" bestFit="1" customWidth="1"/>
    <col min="22" max="22" width="51.42578125" bestFit="1" customWidth="1"/>
    <col min="23" max="23" width="72" bestFit="1" customWidth="1"/>
    <col min="24" max="24" width="32.42578125" bestFit="1" customWidth="1"/>
    <col min="25" max="25" width="81.140625" bestFit="1" customWidth="1"/>
    <col min="26" max="26" width="36.85546875" bestFit="1" customWidth="1"/>
    <col min="27" max="27" width="81.140625" bestFit="1" customWidth="1"/>
    <col min="28" max="28" width="30.5703125" bestFit="1" customWidth="1"/>
    <col min="29" max="29" width="21.85546875" bestFit="1" customWidth="1"/>
    <col min="30" max="30" width="43.5703125" bestFit="1" customWidth="1"/>
    <col min="31" max="31" width="21.42578125" bestFit="1" customWidth="1"/>
    <col min="32" max="32" width="17.140625" bestFit="1" customWidth="1"/>
    <col min="33" max="33" width="33.140625" bestFit="1" customWidth="1"/>
    <col min="34" max="34" width="31.7109375" bestFit="1" customWidth="1"/>
    <col min="35" max="35" width="24.5703125" bestFit="1" customWidth="1"/>
    <col min="36" max="36" width="25.140625" bestFit="1" customWidth="1"/>
    <col min="37" max="37" width="19.7109375" bestFit="1" customWidth="1"/>
    <col min="38" max="38" width="36.7109375" bestFit="1" customWidth="1"/>
    <col min="39" max="39" width="54.28515625" bestFit="1" customWidth="1"/>
    <col min="40" max="40" width="23.140625" bestFit="1" customWidth="1"/>
    <col min="41" max="41" width="72.140625" bestFit="1" customWidth="1"/>
    <col min="42" max="42" width="24.28515625" bestFit="1" customWidth="1"/>
    <col min="43" max="43" width="14" bestFit="1" customWidth="1"/>
    <col min="44" max="44" width="11.5703125" bestFit="1" customWidth="1"/>
    <col min="45" max="45" width="6.5703125" bestFit="1" customWidth="1"/>
    <col min="46" max="46" width="7.28515625" bestFit="1" customWidth="1"/>
    <col min="47" max="47" width="7.42578125" bestFit="1" customWidth="1"/>
    <col min="48" max="48" width="23.7109375" bestFit="1" customWidth="1"/>
    <col min="49" max="49" width="24.42578125" bestFit="1" customWidth="1"/>
    <col min="50" max="51" width="24.5703125" bestFit="1" customWidth="1"/>
    <col min="52" max="52" width="24.42578125" bestFit="1" customWidth="1"/>
    <col min="53" max="55" width="24.5703125" bestFit="1" customWidth="1"/>
    <col min="56" max="56" width="54.140625" bestFit="1" customWidth="1"/>
  </cols>
  <sheetData>
    <row r="1" spans="1:50" x14ac:dyDescent="0.25">
      <c r="A1" t="s">
        <v>125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17</v>
      </c>
      <c r="R1" t="s">
        <v>15</v>
      </c>
      <c r="S1" t="s">
        <v>122</v>
      </c>
      <c r="T1" t="s">
        <v>117</v>
      </c>
      <c r="U1" t="s">
        <v>16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123</v>
      </c>
      <c r="AM1" t="s">
        <v>124</v>
      </c>
      <c r="AN1" t="s">
        <v>126</v>
      </c>
      <c r="AO1" t="s">
        <v>127</v>
      </c>
      <c r="AP1" t="s">
        <v>128</v>
      </c>
      <c r="AQ1" t="s">
        <v>148</v>
      </c>
      <c r="AR1" t="s">
        <v>135</v>
      </c>
      <c r="AS1" t="s">
        <v>104</v>
      </c>
      <c r="AT1" t="s">
        <v>105</v>
      </c>
      <c r="AU1" t="s">
        <v>106</v>
      </c>
      <c r="AV1" t="s">
        <v>107</v>
      </c>
      <c r="AW1" t="s">
        <v>108</v>
      </c>
      <c r="AX1" t="s">
        <v>109</v>
      </c>
    </row>
    <row r="2" spans="1:50" x14ac:dyDescent="0.25">
      <c r="A2">
        <v>158</v>
      </c>
      <c r="B2" s="1">
        <v>45891</v>
      </c>
      <c r="C2" t="s">
        <v>131</v>
      </c>
      <c r="D2" t="s">
        <v>142</v>
      </c>
      <c r="E2" t="s">
        <v>143</v>
      </c>
      <c r="F2" t="s">
        <v>149</v>
      </c>
      <c r="G2" t="s">
        <v>150</v>
      </c>
      <c r="H2" t="s">
        <v>149</v>
      </c>
      <c r="I2">
        <v>1</v>
      </c>
      <c r="J2" t="s">
        <v>52</v>
      </c>
      <c r="K2" t="s">
        <v>118</v>
      </c>
      <c r="L2" s="1">
        <v>45901</v>
      </c>
      <c r="N2" t="s">
        <v>35</v>
      </c>
      <c r="O2" t="s">
        <v>56</v>
      </c>
      <c r="P2" t="s">
        <v>35</v>
      </c>
      <c r="Q2" t="s">
        <v>35</v>
      </c>
      <c r="R2" t="s">
        <v>35</v>
      </c>
      <c r="S2" t="s">
        <v>35</v>
      </c>
      <c r="T2" t="s">
        <v>35</v>
      </c>
      <c r="U2" t="s">
        <v>151</v>
      </c>
      <c r="V2" t="s">
        <v>64</v>
      </c>
      <c r="W2" t="s">
        <v>35</v>
      </c>
      <c r="X2" t="s">
        <v>36</v>
      </c>
      <c r="Y2" t="s">
        <v>152</v>
      </c>
      <c r="Z2" t="s">
        <v>36</v>
      </c>
      <c r="AA2" t="s">
        <v>153</v>
      </c>
      <c r="AB2" t="s">
        <v>35</v>
      </c>
      <c r="AC2" t="s">
        <v>36</v>
      </c>
      <c r="AD2" t="s">
        <v>145</v>
      </c>
      <c r="AE2">
        <v>10000000</v>
      </c>
      <c r="AF2" t="s">
        <v>37</v>
      </c>
      <c r="AG2" t="s">
        <v>38</v>
      </c>
      <c r="AH2" t="s">
        <v>130</v>
      </c>
      <c r="AL2" t="s">
        <v>37</v>
      </c>
      <c r="AM2" t="s">
        <v>35</v>
      </c>
      <c r="AN2" t="s">
        <v>129</v>
      </c>
      <c r="AO2" t="s">
        <v>154</v>
      </c>
      <c r="AP2" t="s">
        <v>35</v>
      </c>
      <c r="AQ2" t="s">
        <v>35</v>
      </c>
      <c r="AR2" t="s">
        <v>35</v>
      </c>
      <c r="AS2">
        <v>22</v>
      </c>
      <c r="AT2">
        <v>8</v>
      </c>
      <c r="AU2">
        <v>2025</v>
      </c>
      <c r="AV2">
        <v>1</v>
      </c>
      <c r="AW2">
        <v>9</v>
      </c>
      <c r="AX2">
        <v>2025</v>
      </c>
    </row>
    <row r="3" spans="1:50" x14ac:dyDescent="0.25">
      <c r="A3">
        <v>159</v>
      </c>
      <c r="B3" s="1">
        <v>45902</v>
      </c>
      <c r="C3" t="s">
        <v>155</v>
      </c>
      <c r="D3" t="s">
        <v>142</v>
      </c>
      <c r="E3" t="s">
        <v>156</v>
      </c>
      <c r="F3" t="s">
        <v>157</v>
      </c>
      <c r="G3" t="s">
        <v>156</v>
      </c>
      <c r="H3" t="s">
        <v>158</v>
      </c>
      <c r="I3">
        <v>1</v>
      </c>
      <c r="J3" t="s">
        <v>52</v>
      </c>
      <c r="K3" t="s">
        <v>118</v>
      </c>
      <c r="L3" s="1">
        <v>45915</v>
      </c>
      <c r="N3" t="s">
        <v>35</v>
      </c>
      <c r="O3" t="s">
        <v>143</v>
      </c>
      <c r="P3" t="s">
        <v>35</v>
      </c>
      <c r="Q3" t="s">
        <v>35</v>
      </c>
      <c r="R3" t="s">
        <v>159</v>
      </c>
      <c r="S3" t="s">
        <v>35</v>
      </c>
      <c r="T3" t="s">
        <v>35</v>
      </c>
      <c r="U3" t="s">
        <v>35</v>
      </c>
      <c r="V3" t="s">
        <v>140</v>
      </c>
      <c r="W3" t="s">
        <v>35</v>
      </c>
      <c r="X3" t="s">
        <v>36</v>
      </c>
      <c r="Y3" t="s">
        <v>160</v>
      </c>
      <c r="Z3" t="s">
        <v>36</v>
      </c>
      <c r="AA3" t="s">
        <v>141</v>
      </c>
      <c r="AB3" t="s">
        <v>35</v>
      </c>
      <c r="AC3" t="s">
        <v>36</v>
      </c>
      <c r="AD3" t="s">
        <v>147</v>
      </c>
      <c r="AE3">
        <v>3500000</v>
      </c>
      <c r="AF3" t="s">
        <v>37</v>
      </c>
      <c r="AG3" t="s">
        <v>38</v>
      </c>
      <c r="AH3" t="s">
        <v>130</v>
      </c>
      <c r="AI3">
        <v>500000</v>
      </c>
      <c r="AL3" t="s">
        <v>37</v>
      </c>
      <c r="AM3" t="s">
        <v>35</v>
      </c>
      <c r="AN3" t="s">
        <v>129</v>
      </c>
      <c r="AO3" t="s">
        <v>161</v>
      </c>
      <c r="AP3" t="s">
        <v>35</v>
      </c>
      <c r="AQ3" t="s">
        <v>35</v>
      </c>
      <c r="AR3" t="s">
        <v>35</v>
      </c>
      <c r="AS3">
        <v>2</v>
      </c>
      <c r="AT3">
        <v>9</v>
      </c>
      <c r="AU3">
        <v>2025</v>
      </c>
      <c r="AV3">
        <v>15</v>
      </c>
      <c r="AW3">
        <v>9</v>
      </c>
      <c r="AX3">
        <v>2025</v>
      </c>
    </row>
    <row r="4" spans="1:50" x14ac:dyDescent="0.25">
      <c r="A4">
        <v>175</v>
      </c>
      <c r="B4" s="1">
        <v>45925</v>
      </c>
      <c r="C4" t="s">
        <v>131</v>
      </c>
      <c r="D4" t="s">
        <v>142</v>
      </c>
      <c r="E4" t="s">
        <v>162</v>
      </c>
      <c r="F4" t="s">
        <v>163</v>
      </c>
      <c r="G4" t="s">
        <v>164</v>
      </c>
      <c r="H4" t="s">
        <v>163</v>
      </c>
      <c r="I4">
        <v>1</v>
      </c>
      <c r="J4" t="s">
        <v>52</v>
      </c>
      <c r="K4" t="s">
        <v>118</v>
      </c>
      <c r="L4" s="1">
        <v>45957</v>
      </c>
      <c r="N4" t="s">
        <v>35</v>
      </c>
      <c r="O4" t="s">
        <v>146</v>
      </c>
      <c r="P4" t="s">
        <v>35</v>
      </c>
      <c r="Q4" t="s">
        <v>35</v>
      </c>
      <c r="R4" t="s">
        <v>35</v>
      </c>
      <c r="S4" t="s">
        <v>165</v>
      </c>
      <c r="T4" t="s">
        <v>35</v>
      </c>
      <c r="U4" t="s">
        <v>35</v>
      </c>
      <c r="V4" t="s">
        <v>140</v>
      </c>
      <c r="W4" t="s">
        <v>35</v>
      </c>
      <c r="X4" t="s">
        <v>37</v>
      </c>
      <c r="Y4" t="s">
        <v>35</v>
      </c>
      <c r="Z4" t="s">
        <v>37</v>
      </c>
      <c r="AA4" t="s">
        <v>35</v>
      </c>
      <c r="AB4" t="s">
        <v>35</v>
      </c>
      <c r="AC4" t="s">
        <v>37</v>
      </c>
      <c r="AD4" t="s">
        <v>35</v>
      </c>
      <c r="AE4">
        <v>1500000</v>
      </c>
      <c r="AF4" t="s">
        <v>36</v>
      </c>
      <c r="AG4" t="s">
        <v>89</v>
      </c>
      <c r="AH4" t="s">
        <v>90</v>
      </c>
      <c r="AL4" t="s">
        <v>37</v>
      </c>
      <c r="AM4" t="s">
        <v>35</v>
      </c>
      <c r="AN4" t="s">
        <v>129</v>
      </c>
      <c r="AO4" t="s">
        <v>166</v>
      </c>
      <c r="AP4" t="s">
        <v>35</v>
      </c>
      <c r="AQ4" t="s">
        <v>35</v>
      </c>
      <c r="AR4" t="s">
        <v>35</v>
      </c>
      <c r="AS4">
        <v>25</v>
      </c>
      <c r="AT4">
        <v>9</v>
      </c>
      <c r="AU4">
        <v>2025</v>
      </c>
      <c r="AV4">
        <v>27</v>
      </c>
      <c r="AW4">
        <v>10</v>
      </c>
      <c r="AX4">
        <v>2025</v>
      </c>
    </row>
    <row r="5" spans="1:50" x14ac:dyDescent="0.25">
      <c r="A5">
        <v>220</v>
      </c>
      <c r="B5" s="1">
        <v>45966</v>
      </c>
      <c r="C5" t="s">
        <v>131</v>
      </c>
      <c r="D5" t="s">
        <v>142</v>
      </c>
      <c r="E5" t="s">
        <v>167</v>
      </c>
      <c r="F5" t="s">
        <v>168</v>
      </c>
      <c r="G5" t="s">
        <v>169</v>
      </c>
      <c r="H5" t="s">
        <v>168</v>
      </c>
      <c r="I5">
        <v>1</v>
      </c>
      <c r="J5" t="s">
        <v>52</v>
      </c>
      <c r="K5" t="s">
        <v>118</v>
      </c>
      <c r="L5" s="1">
        <v>45999</v>
      </c>
      <c r="N5" t="s">
        <v>35</v>
      </c>
      <c r="O5" t="s">
        <v>114</v>
      </c>
      <c r="P5" t="s">
        <v>170</v>
      </c>
      <c r="Q5" t="s">
        <v>35</v>
      </c>
      <c r="R5" t="s">
        <v>35</v>
      </c>
      <c r="S5" t="s">
        <v>35</v>
      </c>
      <c r="T5" t="s">
        <v>35</v>
      </c>
      <c r="U5" t="s">
        <v>35</v>
      </c>
      <c r="V5" t="s">
        <v>140</v>
      </c>
      <c r="W5" t="s">
        <v>35</v>
      </c>
      <c r="X5" t="s">
        <v>37</v>
      </c>
      <c r="Y5" t="s">
        <v>35</v>
      </c>
      <c r="Z5" t="s">
        <v>37</v>
      </c>
      <c r="AA5" t="s">
        <v>35</v>
      </c>
      <c r="AB5" t="s">
        <v>35</v>
      </c>
      <c r="AC5" t="s">
        <v>37</v>
      </c>
      <c r="AD5" t="s">
        <v>35</v>
      </c>
      <c r="AE5">
        <v>1600000</v>
      </c>
      <c r="AF5" t="s">
        <v>36</v>
      </c>
      <c r="AG5" t="s">
        <v>89</v>
      </c>
      <c r="AH5" t="s">
        <v>90</v>
      </c>
      <c r="AJ5">
        <v>200000</v>
      </c>
      <c r="AL5" t="s">
        <v>37</v>
      </c>
      <c r="AM5" t="s">
        <v>35</v>
      </c>
      <c r="AN5" t="s">
        <v>129</v>
      </c>
      <c r="AO5" t="s">
        <v>171</v>
      </c>
      <c r="AP5" t="s">
        <v>35</v>
      </c>
      <c r="AQ5" t="s">
        <v>35</v>
      </c>
      <c r="AR5" t="s">
        <v>35</v>
      </c>
      <c r="AS5">
        <v>5</v>
      </c>
      <c r="AT5">
        <v>11</v>
      </c>
      <c r="AU5">
        <v>2025</v>
      </c>
      <c r="AV5">
        <v>8</v>
      </c>
      <c r="AW5">
        <v>12</v>
      </c>
      <c r="AX5">
        <v>2025</v>
      </c>
    </row>
    <row r="6" spans="1:50" x14ac:dyDescent="0.25">
      <c r="A6">
        <v>224</v>
      </c>
      <c r="B6" s="1">
        <v>45971</v>
      </c>
      <c r="C6" t="s">
        <v>172</v>
      </c>
      <c r="D6" t="s">
        <v>173</v>
      </c>
      <c r="E6" t="s">
        <v>174</v>
      </c>
      <c r="F6" t="s">
        <v>175</v>
      </c>
      <c r="G6" t="s">
        <v>176</v>
      </c>
      <c r="H6" t="s">
        <v>175</v>
      </c>
      <c r="I6">
        <v>6</v>
      </c>
      <c r="J6" t="s">
        <v>34</v>
      </c>
      <c r="K6" t="s">
        <v>118</v>
      </c>
      <c r="L6" s="1">
        <v>46000</v>
      </c>
      <c r="N6" t="s">
        <v>35</v>
      </c>
      <c r="O6" t="s">
        <v>132</v>
      </c>
      <c r="P6" t="s">
        <v>35</v>
      </c>
      <c r="Q6" t="s">
        <v>35</v>
      </c>
      <c r="R6" t="s">
        <v>35</v>
      </c>
      <c r="S6" t="s">
        <v>35</v>
      </c>
      <c r="T6" t="s">
        <v>177</v>
      </c>
      <c r="U6" t="s">
        <v>35</v>
      </c>
      <c r="V6" t="s">
        <v>140</v>
      </c>
      <c r="W6" t="s">
        <v>35</v>
      </c>
      <c r="X6" t="s">
        <v>37</v>
      </c>
      <c r="Y6" t="s">
        <v>35</v>
      </c>
      <c r="Z6" t="s">
        <v>37</v>
      </c>
      <c r="AA6" t="s">
        <v>35</v>
      </c>
      <c r="AB6" t="s">
        <v>35</v>
      </c>
      <c r="AC6" t="s">
        <v>37</v>
      </c>
      <c r="AD6" t="s">
        <v>35</v>
      </c>
      <c r="AE6">
        <v>1423500</v>
      </c>
      <c r="AF6" t="s">
        <v>36</v>
      </c>
      <c r="AG6" t="s">
        <v>89</v>
      </c>
      <c r="AH6" t="s">
        <v>90</v>
      </c>
      <c r="AJ6">
        <v>300000</v>
      </c>
      <c r="AL6" t="s">
        <v>37</v>
      </c>
      <c r="AM6" t="s">
        <v>35</v>
      </c>
      <c r="AN6" t="s">
        <v>129</v>
      </c>
      <c r="AO6" t="s">
        <v>178</v>
      </c>
      <c r="AP6" t="s">
        <v>35</v>
      </c>
      <c r="AQ6" t="s">
        <v>35</v>
      </c>
      <c r="AR6" t="s">
        <v>35</v>
      </c>
      <c r="AS6">
        <v>10</v>
      </c>
      <c r="AT6">
        <v>11</v>
      </c>
      <c r="AU6">
        <v>2025</v>
      </c>
      <c r="AV6">
        <v>9</v>
      </c>
      <c r="AW6">
        <v>12</v>
      </c>
      <c r="AX6">
        <v>2025</v>
      </c>
    </row>
    <row r="7" spans="1:50" x14ac:dyDescent="0.25">
      <c r="A7">
        <v>225</v>
      </c>
      <c r="B7" s="1">
        <v>45971</v>
      </c>
      <c r="C7" t="s">
        <v>172</v>
      </c>
      <c r="D7" t="s">
        <v>173</v>
      </c>
      <c r="E7" t="s">
        <v>179</v>
      </c>
      <c r="F7" t="s">
        <v>175</v>
      </c>
      <c r="G7" t="s">
        <v>180</v>
      </c>
      <c r="H7" t="s">
        <v>175</v>
      </c>
      <c r="I7">
        <v>1</v>
      </c>
      <c r="J7" t="s">
        <v>34</v>
      </c>
      <c r="K7" t="s">
        <v>118</v>
      </c>
      <c r="L7" s="1">
        <v>46000</v>
      </c>
      <c r="N7" t="s">
        <v>35</v>
      </c>
      <c r="O7" t="s">
        <v>132</v>
      </c>
      <c r="P7" t="s">
        <v>35</v>
      </c>
      <c r="Q7" t="s">
        <v>35</v>
      </c>
      <c r="R7" t="s">
        <v>35</v>
      </c>
      <c r="S7" t="s">
        <v>35</v>
      </c>
      <c r="T7" t="s">
        <v>181</v>
      </c>
      <c r="U7" t="s">
        <v>35</v>
      </c>
      <c r="V7" t="s">
        <v>140</v>
      </c>
      <c r="W7" t="s">
        <v>35</v>
      </c>
      <c r="X7" t="s">
        <v>37</v>
      </c>
      <c r="Y7" t="s">
        <v>35</v>
      </c>
      <c r="Z7" t="s">
        <v>36</v>
      </c>
      <c r="AA7" t="s">
        <v>136</v>
      </c>
      <c r="AB7" t="s">
        <v>35</v>
      </c>
      <c r="AC7" t="s">
        <v>37</v>
      </c>
      <c r="AD7" t="s">
        <v>35</v>
      </c>
      <c r="AE7">
        <v>1800000</v>
      </c>
      <c r="AF7" t="s">
        <v>36</v>
      </c>
      <c r="AG7" t="s">
        <v>89</v>
      </c>
      <c r="AH7" t="s">
        <v>90</v>
      </c>
      <c r="AJ7">
        <v>250000</v>
      </c>
      <c r="AL7" t="s">
        <v>37</v>
      </c>
      <c r="AM7" t="s">
        <v>35</v>
      </c>
      <c r="AN7" t="s">
        <v>129</v>
      </c>
      <c r="AO7" t="s">
        <v>182</v>
      </c>
      <c r="AP7" t="s">
        <v>35</v>
      </c>
      <c r="AQ7" t="s">
        <v>35</v>
      </c>
      <c r="AR7" t="s">
        <v>35</v>
      </c>
      <c r="AS7">
        <v>10</v>
      </c>
      <c r="AT7">
        <v>11</v>
      </c>
      <c r="AU7">
        <v>2025</v>
      </c>
      <c r="AV7">
        <v>9</v>
      </c>
      <c r="AW7">
        <v>12</v>
      </c>
      <c r="AX7">
        <v>2025</v>
      </c>
    </row>
    <row r="8" spans="1:50" x14ac:dyDescent="0.25">
      <c r="A8">
        <v>229</v>
      </c>
      <c r="B8" s="1">
        <v>45971</v>
      </c>
      <c r="C8" t="s">
        <v>137</v>
      </c>
      <c r="D8" t="s">
        <v>142</v>
      </c>
      <c r="E8" t="s">
        <v>183</v>
      </c>
      <c r="F8" t="s">
        <v>184</v>
      </c>
      <c r="G8" t="s">
        <v>185</v>
      </c>
      <c r="H8" t="s">
        <v>184</v>
      </c>
      <c r="I8">
        <v>1</v>
      </c>
      <c r="J8" t="s">
        <v>52</v>
      </c>
      <c r="K8" t="s">
        <v>118</v>
      </c>
      <c r="L8" s="1">
        <v>46006</v>
      </c>
      <c r="N8" t="s">
        <v>35</v>
      </c>
      <c r="O8" t="s">
        <v>143</v>
      </c>
      <c r="P8" t="s">
        <v>35</v>
      </c>
      <c r="Q8" t="s">
        <v>35</v>
      </c>
      <c r="R8" t="s">
        <v>159</v>
      </c>
      <c r="S8" t="s">
        <v>35</v>
      </c>
      <c r="T8" t="s">
        <v>35</v>
      </c>
      <c r="U8" t="s">
        <v>35</v>
      </c>
      <c r="V8" t="s">
        <v>139</v>
      </c>
      <c r="W8" t="s">
        <v>186</v>
      </c>
      <c r="X8" t="s">
        <v>36</v>
      </c>
      <c r="Y8" t="s">
        <v>187</v>
      </c>
      <c r="Z8" t="s">
        <v>36</v>
      </c>
      <c r="AA8" t="s">
        <v>188</v>
      </c>
      <c r="AB8" t="s">
        <v>35</v>
      </c>
      <c r="AC8" t="s">
        <v>36</v>
      </c>
      <c r="AD8" t="s">
        <v>147</v>
      </c>
      <c r="AE8">
        <v>3000000</v>
      </c>
      <c r="AF8" t="s">
        <v>37</v>
      </c>
      <c r="AG8" t="s">
        <v>89</v>
      </c>
      <c r="AH8" t="s">
        <v>90</v>
      </c>
      <c r="AI8">
        <v>425000</v>
      </c>
      <c r="AL8" t="s">
        <v>37</v>
      </c>
      <c r="AM8" t="s">
        <v>35</v>
      </c>
      <c r="AN8" t="s">
        <v>129</v>
      </c>
      <c r="AO8" t="s">
        <v>189</v>
      </c>
      <c r="AP8" t="s">
        <v>35</v>
      </c>
      <c r="AQ8" t="s">
        <v>35</v>
      </c>
      <c r="AR8" t="s">
        <v>35</v>
      </c>
      <c r="AS8">
        <v>10</v>
      </c>
      <c r="AT8">
        <v>11</v>
      </c>
      <c r="AU8">
        <v>2025</v>
      </c>
      <c r="AV8">
        <v>15</v>
      </c>
      <c r="AW8">
        <v>12</v>
      </c>
      <c r="AX8">
        <v>2025</v>
      </c>
    </row>
    <row r="9" spans="1:50" x14ac:dyDescent="0.25">
      <c r="A9">
        <v>231</v>
      </c>
      <c r="B9" s="1">
        <v>45974</v>
      </c>
      <c r="C9" t="s">
        <v>190</v>
      </c>
      <c r="D9" t="s">
        <v>191</v>
      </c>
      <c r="E9" t="s">
        <v>192</v>
      </c>
      <c r="F9" t="s">
        <v>193</v>
      </c>
      <c r="G9" t="s">
        <v>194</v>
      </c>
      <c r="H9" t="s">
        <v>193</v>
      </c>
      <c r="I9">
        <v>8</v>
      </c>
      <c r="J9" t="s">
        <v>34</v>
      </c>
      <c r="K9" t="s">
        <v>113</v>
      </c>
      <c r="L9" s="1">
        <v>46004</v>
      </c>
      <c r="N9" t="s">
        <v>35</v>
      </c>
      <c r="O9" t="s">
        <v>132</v>
      </c>
      <c r="P9" t="s">
        <v>35</v>
      </c>
      <c r="Q9" t="s">
        <v>35</v>
      </c>
      <c r="R9" t="s">
        <v>35</v>
      </c>
      <c r="S9" t="s">
        <v>35</v>
      </c>
      <c r="T9" t="s">
        <v>177</v>
      </c>
      <c r="U9" t="s">
        <v>35</v>
      </c>
      <c r="V9" t="s">
        <v>61</v>
      </c>
      <c r="W9" t="s">
        <v>35</v>
      </c>
      <c r="X9" t="s">
        <v>37</v>
      </c>
      <c r="Y9" t="s">
        <v>35</v>
      </c>
      <c r="Z9" t="s">
        <v>37</v>
      </c>
      <c r="AA9" t="s">
        <v>35</v>
      </c>
      <c r="AB9" t="s">
        <v>35</v>
      </c>
      <c r="AC9" t="s">
        <v>37</v>
      </c>
      <c r="AD9" t="s">
        <v>35</v>
      </c>
      <c r="AE9">
        <v>1423500</v>
      </c>
      <c r="AF9" t="s">
        <v>36</v>
      </c>
      <c r="AG9" t="s">
        <v>89</v>
      </c>
      <c r="AH9" t="s">
        <v>90</v>
      </c>
      <c r="AI9">
        <v>240000</v>
      </c>
      <c r="AJ9">
        <v>240000</v>
      </c>
      <c r="AL9" t="s">
        <v>37</v>
      </c>
      <c r="AM9" t="s">
        <v>35</v>
      </c>
      <c r="AN9" t="s">
        <v>129</v>
      </c>
      <c r="AO9" t="s">
        <v>195</v>
      </c>
      <c r="AP9" t="s">
        <v>35</v>
      </c>
      <c r="AQ9" t="s">
        <v>35</v>
      </c>
      <c r="AR9" t="s">
        <v>35</v>
      </c>
      <c r="AS9">
        <v>13</v>
      </c>
      <c r="AT9">
        <v>11</v>
      </c>
      <c r="AU9">
        <v>2025</v>
      </c>
      <c r="AV9">
        <v>13</v>
      </c>
      <c r="AW9">
        <v>12</v>
      </c>
      <c r="AX9">
        <v>2025</v>
      </c>
    </row>
    <row r="10" spans="1:50" x14ac:dyDescent="0.25">
      <c r="A10">
        <v>232</v>
      </c>
      <c r="B10" s="1">
        <v>46004</v>
      </c>
      <c r="C10" t="s">
        <v>190</v>
      </c>
      <c r="D10" t="s">
        <v>191</v>
      </c>
      <c r="E10" t="s">
        <v>196</v>
      </c>
      <c r="F10" t="s">
        <v>197</v>
      </c>
      <c r="G10" t="s">
        <v>198</v>
      </c>
      <c r="H10" t="s">
        <v>197</v>
      </c>
      <c r="I10">
        <v>3</v>
      </c>
      <c r="J10" t="s">
        <v>34</v>
      </c>
      <c r="K10" t="s">
        <v>113</v>
      </c>
      <c r="L10" s="1">
        <v>46004</v>
      </c>
      <c r="N10" t="s">
        <v>35</v>
      </c>
      <c r="O10" t="s">
        <v>132</v>
      </c>
      <c r="P10" t="s">
        <v>35</v>
      </c>
      <c r="Q10" t="s">
        <v>35</v>
      </c>
      <c r="R10" t="s">
        <v>35</v>
      </c>
      <c r="S10" t="s">
        <v>35</v>
      </c>
      <c r="T10" t="s">
        <v>138</v>
      </c>
      <c r="U10" t="s">
        <v>35</v>
      </c>
      <c r="V10" t="s">
        <v>61</v>
      </c>
      <c r="W10" t="s">
        <v>35</v>
      </c>
      <c r="X10" t="s">
        <v>37</v>
      </c>
      <c r="Y10" t="s">
        <v>35</v>
      </c>
      <c r="Z10" t="s">
        <v>37</v>
      </c>
      <c r="AA10" t="s">
        <v>35</v>
      </c>
      <c r="AB10" t="s">
        <v>35</v>
      </c>
      <c r="AC10" t="s">
        <v>37</v>
      </c>
      <c r="AD10" t="s">
        <v>35</v>
      </c>
      <c r="AE10">
        <v>1900000</v>
      </c>
      <c r="AF10" t="s">
        <v>36</v>
      </c>
      <c r="AG10" t="s">
        <v>89</v>
      </c>
      <c r="AH10" t="s">
        <v>90</v>
      </c>
      <c r="AI10">
        <v>240000</v>
      </c>
      <c r="AJ10">
        <v>240000</v>
      </c>
      <c r="AL10" t="s">
        <v>37</v>
      </c>
      <c r="AM10" t="s">
        <v>35</v>
      </c>
      <c r="AN10" t="s">
        <v>129</v>
      </c>
      <c r="AO10" t="s">
        <v>199</v>
      </c>
      <c r="AP10" t="s">
        <v>35</v>
      </c>
      <c r="AQ10" t="s">
        <v>35</v>
      </c>
      <c r="AR10" t="s">
        <v>35</v>
      </c>
      <c r="AS10">
        <v>13</v>
      </c>
      <c r="AT10">
        <v>12</v>
      </c>
      <c r="AU10">
        <v>2025</v>
      </c>
      <c r="AV10">
        <v>13</v>
      </c>
      <c r="AW10">
        <v>12</v>
      </c>
      <c r="AX10">
        <v>2025</v>
      </c>
    </row>
    <row r="11" spans="1:50" x14ac:dyDescent="0.25">
      <c r="A11">
        <v>234</v>
      </c>
      <c r="B11" s="1">
        <v>45981</v>
      </c>
      <c r="C11" t="s">
        <v>200</v>
      </c>
      <c r="D11" t="s">
        <v>142</v>
      </c>
      <c r="E11" t="s">
        <v>201</v>
      </c>
      <c r="F11" t="s">
        <v>202</v>
      </c>
      <c r="G11" t="s">
        <v>203</v>
      </c>
      <c r="H11" t="s">
        <v>202</v>
      </c>
      <c r="I11">
        <v>1</v>
      </c>
      <c r="J11" t="s">
        <v>34</v>
      </c>
      <c r="K11" t="s">
        <v>118</v>
      </c>
      <c r="L11" s="1">
        <v>45986</v>
      </c>
      <c r="N11" t="s">
        <v>35</v>
      </c>
      <c r="O11" t="s">
        <v>57</v>
      </c>
      <c r="P11" t="s">
        <v>35</v>
      </c>
      <c r="Q11" t="s">
        <v>204</v>
      </c>
      <c r="R11" t="s">
        <v>35</v>
      </c>
      <c r="S11" t="s">
        <v>35</v>
      </c>
      <c r="T11" t="s">
        <v>35</v>
      </c>
      <c r="U11" t="s">
        <v>35</v>
      </c>
      <c r="V11" t="s">
        <v>64</v>
      </c>
      <c r="W11" t="s">
        <v>35</v>
      </c>
      <c r="X11" t="s">
        <v>36</v>
      </c>
      <c r="Y11" t="s">
        <v>73</v>
      </c>
      <c r="Z11" t="s">
        <v>36</v>
      </c>
      <c r="AA11" t="s">
        <v>141</v>
      </c>
      <c r="AB11" t="s">
        <v>35</v>
      </c>
      <c r="AC11" t="s">
        <v>37</v>
      </c>
      <c r="AD11" t="s">
        <v>35</v>
      </c>
      <c r="AE11">
        <v>1600000</v>
      </c>
      <c r="AF11" t="s">
        <v>36</v>
      </c>
      <c r="AG11" t="s">
        <v>89</v>
      </c>
      <c r="AH11" t="s">
        <v>90</v>
      </c>
      <c r="AJ11">
        <v>250000</v>
      </c>
      <c r="AL11" t="s">
        <v>37</v>
      </c>
      <c r="AM11" t="s">
        <v>35</v>
      </c>
      <c r="AN11" t="s">
        <v>129</v>
      </c>
      <c r="AO11" t="s">
        <v>205</v>
      </c>
      <c r="AP11" t="s">
        <v>35</v>
      </c>
      <c r="AQ11" t="s">
        <v>35</v>
      </c>
      <c r="AR11" t="s">
        <v>35</v>
      </c>
      <c r="AS11">
        <v>20</v>
      </c>
      <c r="AT11">
        <v>11</v>
      </c>
      <c r="AU11">
        <v>2025</v>
      </c>
      <c r="AV11">
        <v>25</v>
      </c>
      <c r="AW11">
        <v>11</v>
      </c>
      <c r="AX11">
        <v>2025</v>
      </c>
    </row>
    <row r="12" spans="1:50" x14ac:dyDescent="0.25">
      <c r="A12">
        <v>236</v>
      </c>
      <c r="B12" s="1">
        <v>45981</v>
      </c>
      <c r="C12" t="s">
        <v>206</v>
      </c>
      <c r="D12" t="s">
        <v>142</v>
      </c>
      <c r="E12" t="s">
        <v>207</v>
      </c>
      <c r="F12" t="s">
        <v>208</v>
      </c>
      <c r="G12" t="s">
        <v>207</v>
      </c>
      <c r="H12" t="s">
        <v>208</v>
      </c>
      <c r="I12">
        <v>1</v>
      </c>
      <c r="J12" t="s">
        <v>34</v>
      </c>
      <c r="K12" t="s">
        <v>118</v>
      </c>
      <c r="L12" s="1">
        <v>45985</v>
      </c>
      <c r="N12" t="s">
        <v>35</v>
      </c>
      <c r="O12" t="s">
        <v>57</v>
      </c>
      <c r="P12" t="s">
        <v>35</v>
      </c>
      <c r="Q12" t="s">
        <v>204</v>
      </c>
      <c r="R12" t="s">
        <v>35</v>
      </c>
      <c r="S12" t="s">
        <v>35</v>
      </c>
      <c r="T12" t="s">
        <v>35</v>
      </c>
      <c r="U12" t="s">
        <v>35</v>
      </c>
      <c r="V12" t="s">
        <v>140</v>
      </c>
      <c r="W12" t="s">
        <v>35</v>
      </c>
      <c r="X12" t="s">
        <v>37</v>
      </c>
      <c r="Y12" t="s">
        <v>35</v>
      </c>
      <c r="Z12" t="s">
        <v>36</v>
      </c>
      <c r="AA12" t="s">
        <v>153</v>
      </c>
      <c r="AB12" t="s">
        <v>35</v>
      </c>
      <c r="AC12" t="s">
        <v>37</v>
      </c>
      <c r="AD12" t="s">
        <v>35</v>
      </c>
      <c r="AE12">
        <v>1500000</v>
      </c>
      <c r="AF12" t="s">
        <v>36</v>
      </c>
      <c r="AG12" t="s">
        <v>89</v>
      </c>
      <c r="AH12" t="s">
        <v>90</v>
      </c>
      <c r="AJ12">
        <v>200000</v>
      </c>
      <c r="AL12" t="s">
        <v>37</v>
      </c>
      <c r="AM12" t="s">
        <v>35</v>
      </c>
      <c r="AN12" t="s">
        <v>129</v>
      </c>
      <c r="AO12" t="s">
        <v>209</v>
      </c>
      <c r="AP12" t="s">
        <v>35</v>
      </c>
      <c r="AQ12" t="s">
        <v>35</v>
      </c>
      <c r="AR12" t="s">
        <v>35</v>
      </c>
      <c r="AS12">
        <v>20</v>
      </c>
      <c r="AT12">
        <v>11</v>
      </c>
      <c r="AU12">
        <v>2025</v>
      </c>
      <c r="AV12">
        <v>24</v>
      </c>
      <c r="AW12">
        <v>11</v>
      </c>
      <c r="AX12">
        <v>2025</v>
      </c>
    </row>
    <row r="13" spans="1:50" x14ac:dyDescent="0.25">
      <c r="A13">
        <v>239</v>
      </c>
      <c r="B13" s="1">
        <v>45992</v>
      </c>
      <c r="C13" t="s">
        <v>190</v>
      </c>
      <c r="D13" t="s">
        <v>191</v>
      </c>
      <c r="E13" t="s">
        <v>196</v>
      </c>
      <c r="F13" t="s">
        <v>197</v>
      </c>
      <c r="G13" t="s">
        <v>210</v>
      </c>
      <c r="H13" t="s">
        <v>211</v>
      </c>
      <c r="I13">
        <v>1</v>
      </c>
      <c r="J13" t="s">
        <v>34</v>
      </c>
      <c r="K13" t="s">
        <v>118</v>
      </c>
      <c r="L13" s="1">
        <v>46004</v>
      </c>
      <c r="N13" t="s">
        <v>35</v>
      </c>
      <c r="O13" t="s">
        <v>132</v>
      </c>
      <c r="P13" t="s">
        <v>35</v>
      </c>
      <c r="Q13" t="s">
        <v>35</v>
      </c>
      <c r="R13" t="s">
        <v>35</v>
      </c>
      <c r="S13" t="s">
        <v>35</v>
      </c>
      <c r="T13" t="s">
        <v>138</v>
      </c>
      <c r="U13" t="s">
        <v>35</v>
      </c>
      <c r="V13" t="s">
        <v>140</v>
      </c>
      <c r="W13" t="s">
        <v>35</v>
      </c>
      <c r="X13" t="s">
        <v>37</v>
      </c>
      <c r="Y13" t="s">
        <v>35</v>
      </c>
      <c r="Z13" t="s">
        <v>37</v>
      </c>
      <c r="AA13" t="s">
        <v>35</v>
      </c>
      <c r="AB13" t="s">
        <v>35</v>
      </c>
      <c r="AC13" t="s">
        <v>37</v>
      </c>
      <c r="AD13" t="s">
        <v>35</v>
      </c>
      <c r="AE13">
        <v>1900000</v>
      </c>
      <c r="AF13" t="s">
        <v>36</v>
      </c>
      <c r="AG13" t="s">
        <v>89</v>
      </c>
      <c r="AH13" t="s">
        <v>90</v>
      </c>
      <c r="AJ13">
        <v>480000</v>
      </c>
      <c r="AL13" t="s">
        <v>37</v>
      </c>
      <c r="AM13" t="s">
        <v>35</v>
      </c>
      <c r="AN13" t="s">
        <v>129</v>
      </c>
      <c r="AO13" t="s">
        <v>212</v>
      </c>
      <c r="AP13" t="s">
        <v>35</v>
      </c>
      <c r="AQ13" t="s">
        <v>35</v>
      </c>
      <c r="AR13" t="s">
        <v>35</v>
      </c>
      <c r="AS13">
        <v>1</v>
      </c>
      <c r="AT13">
        <v>12</v>
      </c>
      <c r="AU13">
        <v>2025</v>
      </c>
      <c r="AV13">
        <v>13</v>
      </c>
      <c r="AW13">
        <v>12</v>
      </c>
      <c r="AX13">
        <v>2025</v>
      </c>
    </row>
    <row r="14" spans="1:50" x14ac:dyDescent="0.25">
      <c r="A14">
        <v>240</v>
      </c>
      <c r="B14" s="1">
        <v>45992</v>
      </c>
      <c r="C14" t="s">
        <v>190</v>
      </c>
      <c r="D14" t="s">
        <v>191</v>
      </c>
      <c r="E14" t="s">
        <v>196</v>
      </c>
      <c r="F14" t="s">
        <v>193</v>
      </c>
      <c r="G14" t="s">
        <v>213</v>
      </c>
      <c r="H14" t="s">
        <v>214</v>
      </c>
      <c r="I14">
        <v>2</v>
      </c>
      <c r="J14" t="s">
        <v>34</v>
      </c>
      <c r="K14" t="s">
        <v>113</v>
      </c>
      <c r="L14" s="1">
        <v>46004</v>
      </c>
      <c r="M14">
        <v>2020</v>
      </c>
      <c r="N14" t="s">
        <v>35</v>
      </c>
      <c r="O14" t="s">
        <v>132</v>
      </c>
      <c r="P14" t="s">
        <v>35</v>
      </c>
      <c r="Q14" t="s">
        <v>35</v>
      </c>
      <c r="R14" t="s">
        <v>35</v>
      </c>
      <c r="S14" t="s">
        <v>35</v>
      </c>
      <c r="T14" t="s">
        <v>177</v>
      </c>
      <c r="U14" t="s">
        <v>35</v>
      </c>
      <c r="V14" t="s">
        <v>140</v>
      </c>
      <c r="W14" t="s">
        <v>35</v>
      </c>
      <c r="X14" t="s">
        <v>37</v>
      </c>
      <c r="Y14" t="s">
        <v>35</v>
      </c>
      <c r="Z14" t="s">
        <v>37</v>
      </c>
      <c r="AA14" t="s">
        <v>35</v>
      </c>
      <c r="AB14" t="s">
        <v>35</v>
      </c>
      <c r="AC14" t="s">
        <v>37</v>
      </c>
      <c r="AD14" t="s">
        <v>35</v>
      </c>
      <c r="AE14">
        <v>1423500</v>
      </c>
      <c r="AF14" t="s">
        <v>36</v>
      </c>
      <c r="AG14" t="s">
        <v>89</v>
      </c>
      <c r="AH14" t="s">
        <v>90</v>
      </c>
      <c r="AI14">
        <v>240000</v>
      </c>
      <c r="AJ14">
        <v>240000</v>
      </c>
      <c r="AL14" t="s">
        <v>37</v>
      </c>
      <c r="AM14" t="s">
        <v>35</v>
      </c>
      <c r="AN14" t="s">
        <v>129</v>
      </c>
      <c r="AO14" t="s">
        <v>215</v>
      </c>
      <c r="AP14" t="s">
        <v>35</v>
      </c>
      <c r="AQ14" t="s">
        <v>35</v>
      </c>
      <c r="AR14" t="s">
        <v>35</v>
      </c>
      <c r="AS14">
        <v>1</v>
      </c>
      <c r="AT14">
        <v>12</v>
      </c>
      <c r="AU14">
        <v>2025</v>
      </c>
      <c r="AV14">
        <v>13</v>
      </c>
      <c r="AW14">
        <v>12</v>
      </c>
      <c r="AX14">
        <v>2025</v>
      </c>
    </row>
    <row r="15" spans="1:50" x14ac:dyDescent="0.25">
      <c r="A15">
        <v>242</v>
      </c>
      <c r="B15" s="1">
        <v>46006</v>
      </c>
      <c r="C15" t="s">
        <v>131</v>
      </c>
      <c r="D15" t="s">
        <v>142</v>
      </c>
      <c r="E15" t="s">
        <v>216</v>
      </c>
      <c r="F15" t="s">
        <v>217</v>
      </c>
      <c r="G15" t="s">
        <v>137</v>
      </c>
      <c r="H15" t="s">
        <v>218</v>
      </c>
      <c r="I15">
        <v>1</v>
      </c>
      <c r="J15" t="s">
        <v>52</v>
      </c>
      <c r="K15" t="s">
        <v>118</v>
      </c>
      <c r="L15" s="1">
        <v>46010</v>
      </c>
      <c r="N15" t="s">
        <v>35</v>
      </c>
      <c r="O15" t="s">
        <v>114</v>
      </c>
      <c r="P15" t="s">
        <v>219</v>
      </c>
      <c r="Q15" t="s">
        <v>35</v>
      </c>
      <c r="R15" t="s">
        <v>35</v>
      </c>
      <c r="S15" t="s">
        <v>35</v>
      </c>
      <c r="T15" t="s">
        <v>35</v>
      </c>
      <c r="U15" t="s">
        <v>35</v>
      </c>
      <c r="V15" t="s">
        <v>67</v>
      </c>
      <c r="W15" t="s">
        <v>35</v>
      </c>
      <c r="X15" t="s">
        <v>36</v>
      </c>
      <c r="Y15" t="s">
        <v>160</v>
      </c>
      <c r="Z15" t="s">
        <v>36</v>
      </c>
      <c r="AA15" t="s">
        <v>153</v>
      </c>
      <c r="AB15" t="s">
        <v>35</v>
      </c>
      <c r="AC15" t="s">
        <v>37</v>
      </c>
      <c r="AD15" t="s">
        <v>35</v>
      </c>
      <c r="AE15">
        <v>1700000</v>
      </c>
      <c r="AF15" t="s">
        <v>36</v>
      </c>
      <c r="AG15" t="s">
        <v>89</v>
      </c>
      <c r="AH15" t="s">
        <v>90</v>
      </c>
      <c r="AJ15">
        <v>170000</v>
      </c>
      <c r="AL15" t="s">
        <v>37</v>
      </c>
      <c r="AM15" t="s">
        <v>35</v>
      </c>
      <c r="AN15" t="s">
        <v>129</v>
      </c>
      <c r="AO15" t="s">
        <v>220</v>
      </c>
      <c r="AP15" t="s">
        <v>35</v>
      </c>
      <c r="AQ15" t="s">
        <v>35</v>
      </c>
      <c r="AR15" t="s">
        <v>35</v>
      </c>
      <c r="AS15">
        <v>15</v>
      </c>
      <c r="AT15">
        <v>12</v>
      </c>
      <c r="AU15">
        <v>2025</v>
      </c>
      <c r="AV15">
        <v>19</v>
      </c>
      <c r="AW15">
        <v>12</v>
      </c>
      <c r="AX15">
        <v>2025</v>
      </c>
    </row>
    <row r="16" spans="1:50" x14ac:dyDescent="0.25">
      <c r="A16">
        <v>245</v>
      </c>
      <c r="B16" s="1">
        <v>46002</v>
      </c>
      <c r="C16" t="s">
        <v>155</v>
      </c>
      <c r="D16" t="s">
        <v>142</v>
      </c>
      <c r="E16" t="s">
        <v>57</v>
      </c>
      <c r="F16" t="s">
        <v>221</v>
      </c>
      <c r="G16" t="s">
        <v>57</v>
      </c>
      <c r="H16" t="s">
        <v>222</v>
      </c>
      <c r="I16">
        <v>1</v>
      </c>
      <c r="J16" t="s">
        <v>34</v>
      </c>
      <c r="K16" t="s">
        <v>118</v>
      </c>
      <c r="L16" s="1">
        <v>46034</v>
      </c>
      <c r="N16" t="s">
        <v>35</v>
      </c>
      <c r="O16" t="s">
        <v>57</v>
      </c>
      <c r="P16" t="s">
        <v>35</v>
      </c>
      <c r="Q16" t="s">
        <v>223</v>
      </c>
      <c r="R16" t="s">
        <v>35</v>
      </c>
      <c r="S16" t="s">
        <v>35</v>
      </c>
      <c r="T16" t="s">
        <v>35</v>
      </c>
      <c r="U16" t="s">
        <v>35</v>
      </c>
      <c r="V16" t="s">
        <v>139</v>
      </c>
      <c r="W16" t="s">
        <v>224</v>
      </c>
      <c r="X16" t="s">
        <v>37</v>
      </c>
      <c r="Y16" t="s">
        <v>35</v>
      </c>
      <c r="Z16" t="s">
        <v>37</v>
      </c>
      <c r="AA16" t="s">
        <v>35</v>
      </c>
      <c r="AB16" t="s">
        <v>35</v>
      </c>
      <c r="AC16" t="s">
        <v>37</v>
      </c>
      <c r="AD16" t="s">
        <v>35</v>
      </c>
      <c r="AE16">
        <v>1423000</v>
      </c>
      <c r="AF16" t="s">
        <v>36</v>
      </c>
      <c r="AG16" t="s">
        <v>38</v>
      </c>
      <c r="AH16" t="s">
        <v>130</v>
      </c>
      <c r="AJ16">
        <v>200000</v>
      </c>
      <c r="AL16" t="s">
        <v>37</v>
      </c>
      <c r="AM16" t="s">
        <v>35</v>
      </c>
      <c r="AN16" t="s">
        <v>129</v>
      </c>
      <c r="AO16" t="s">
        <v>225</v>
      </c>
      <c r="AP16" t="s">
        <v>35</v>
      </c>
      <c r="AQ16" t="s">
        <v>35</v>
      </c>
      <c r="AR16" t="s">
        <v>35</v>
      </c>
      <c r="AS16">
        <v>11</v>
      </c>
      <c r="AT16">
        <v>12</v>
      </c>
      <c r="AU16">
        <v>2025</v>
      </c>
      <c r="AV16">
        <v>12</v>
      </c>
      <c r="AW16">
        <v>1</v>
      </c>
      <c r="AX16">
        <v>2026</v>
      </c>
    </row>
    <row r="17" spans="1:50" x14ac:dyDescent="0.25">
      <c r="A17">
        <v>247</v>
      </c>
      <c r="B17" s="1">
        <v>46002</v>
      </c>
      <c r="C17" t="s">
        <v>206</v>
      </c>
      <c r="D17" t="s">
        <v>142</v>
      </c>
      <c r="E17" t="s">
        <v>57</v>
      </c>
      <c r="F17" t="s">
        <v>221</v>
      </c>
      <c r="G17" t="s">
        <v>57</v>
      </c>
      <c r="H17" t="s">
        <v>208</v>
      </c>
      <c r="I17">
        <v>1</v>
      </c>
      <c r="J17" t="s">
        <v>34</v>
      </c>
      <c r="K17" t="s">
        <v>118</v>
      </c>
      <c r="L17" s="1">
        <v>46034</v>
      </c>
      <c r="N17" t="s">
        <v>35</v>
      </c>
      <c r="O17" t="s">
        <v>57</v>
      </c>
      <c r="P17" t="s">
        <v>35</v>
      </c>
      <c r="Q17" t="s">
        <v>226</v>
      </c>
      <c r="R17" t="s">
        <v>35</v>
      </c>
      <c r="S17" t="s">
        <v>35</v>
      </c>
      <c r="T17" t="s">
        <v>35</v>
      </c>
      <c r="U17" t="s">
        <v>35</v>
      </c>
      <c r="V17" t="s">
        <v>139</v>
      </c>
      <c r="W17" t="s">
        <v>224</v>
      </c>
      <c r="X17" t="s">
        <v>37</v>
      </c>
      <c r="Y17" t="s">
        <v>35</v>
      </c>
      <c r="Z17" t="s">
        <v>37</v>
      </c>
      <c r="AA17" t="s">
        <v>35</v>
      </c>
      <c r="AB17" t="s">
        <v>35</v>
      </c>
      <c r="AC17" t="s">
        <v>37</v>
      </c>
      <c r="AD17" t="s">
        <v>35</v>
      </c>
      <c r="AE17">
        <v>1750905</v>
      </c>
      <c r="AF17" t="s">
        <v>36</v>
      </c>
      <c r="AG17" t="s">
        <v>38</v>
      </c>
      <c r="AH17" t="s">
        <v>130</v>
      </c>
      <c r="AJ17">
        <v>100000</v>
      </c>
      <c r="AL17" t="s">
        <v>37</v>
      </c>
      <c r="AM17" t="s">
        <v>35</v>
      </c>
      <c r="AN17" t="s">
        <v>129</v>
      </c>
      <c r="AO17" t="s">
        <v>227</v>
      </c>
      <c r="AP17" t="s">
        <v>35</v>
      </c>
      <c r="AQ17" t="s">
        <v>35</v>
      </c>
      <c r="AR17" t="s">
        <v>35</v>
      </c>
      <c r="AS17">
        <v>11</v>
      </c>
      <c r="AT17">
        <v>12</v>
      </c>
      <c r="AU17">
        <v>2025</v>
      </c>
      <c r="AV17">
        <v>12</v>
      </c>
      <c r="AW17">
        <v>1</v>
      </c>
      <c r="AX17">
        <v>2026</v>
      </c>
    </row>
    <row r="18" spans="1:50" x14ac:dyDescent="0.25">
      <c r="A18">
        <v>251</v>
      </c>
      <c r="B18" s="1">
        <v>46027</v>
      </c>
      <c r="C18" t="s">
        <v>131</v>
      </c>
      <c r="D18" t="s">
        <v>142</v>
      </c>
      <c r="E18" t="s">
        <v>228</v>
      </c>
      <c r="F18" t="s">
        <v>229</v>
      </c>
      <c r="G18" t="s">
        <v>230</v>
      </c>
      <c r="H18" t="s">
        <v>229</v>
      </c>
      <c r="I18">
        <v>1</v>
      </c>
      <c r="J18" t="s">
        <v>52</v>
      </c>
      <c r="K18" t="s">
        <v>118</v>
      </c>
      <c r="L18" s="1">
        <v>46058</v>
      </c>
      <c r="N18" t="s">
        <v>35</v>
      </c>
      <c r="O18" t="s">
        <v>143</v>
      </c>
      <c r="P18" t="s">
        <v>35</v>
      </c>
      <c r="Q18" t="s">
        <v>35</v>
      </c>
      <c r="R18" t="s">
        <v>144</v>
      </c>
      <c r="S18" t="s">
        <v>35</v>
      </c>
      <c r="T18" t="s">
        <v>35</v>
      </c>
      <c r="U18" t="s">
        <v>35</v>
      </c>
      <c r="V18" t="s">
        <v>67</v>
      </c>
      <c r="W18" t="s">
        <v>35</v>
      </c>
      <c r="X18" t="s">
        <v>36</v>
      </c>
      <c r="Y18" t="s">
        <v>160</v>
      </c>
      <c r="Z18" t="s">
        <v>36</v>
      </c>
      <c r="AA18" t="s">
        <v>153</v>
      </c>
      <c r="AB18" t="s">
        <v>35</v>
      </c>
      <c r="AC18" t="s">
        <v>37</v>
      </c>
      <c r="AD18" t="s">
        <v>35</v>
      </c>
      <c r="AE18">
        <v>2000000</v>
      </c>
      <c r="AF18" t="s">
        <v>37</v>
      </c>
      <c r="AG18" t="s">
        <v>89</v>
      </c>
      <c r="AH18" t="s">
        <v>90</v>
      </c>
      <c r="AL18" t="s">
        <v>37</v>
      </c>
      <c r="AM18" t="s">
        <v>35</v>
      </c>
      <c r="AN18" t="s">
        <v>129</v>
      </c>
      <c r="AO18" t="s">
        <v>231</v>
      </c>
      <c r="AP18" t="s">
        <v>35</v>
      </c>
      <c r="AQ18" t="s">
        <v>35</v>
      </c>
      <c r="AR18" t="s">
        <v>35</v>
      </c>
      <c r="AS18">
        <v>5</v>
      </c>
      <c r="AT18">
        <v>1</v>
      </c>
      <c r="AU18">
        <v>2026</v>
      </c>
      <c r="AV18">
        <v>5</v>
      </c>
      <c r="AW18">
        <v>2</v>
      </c>
      <c r="AX18">
        <v>2026</v>
      </c>
    </row>
    <row r="19" spans="1:50" x14ac:dyDescent="0.25">
      <c r="A19">
        <v>253</v>
      </c>
      <c r="B19" s="1">
        <v>46028</v>
      </c>
      <c r="C19" t="s">
        <v>137</v>
      </c>
      <c r="D19" t="s">
        <v>232</v>
      </c>
      <c r="E19" t="s">
        <v>167</v>
      </c>
      <c r="F19" t="s">
        <v>168</v>
      </c>
      <c r="G19" t="s">
        <v>233</v>
      </c>
      <c r="H19" t="s">
        <v>168</v>
      </c>
      <c r="I19">
        <v>1</v>
      </c>
      <c r="J19" t="s">
        <v>52</v>
      </c>
      <c r="K19" t="s">
        <v>118</v>
      </c>
      <c r="L19" s="1">
        <v>46035</v>
      </c>
      <c r="N19" t="s">
        <v>35</v>
      </c>
      <c r="O19" t="s">
        <v>114</v>
      </c>
      <c r="P19" t="s">
        <v>234</v>
      </c>
      <c r="Q19" t="s">
        <v>35</v>
      </c>
      <c r="R19" t="s">
        <v>35</v>
      </c>
      <c r="S19" t="s">
        <v>35</v>
      </c>
      <c r="T19" t="s">
        <v>35</v>
      </c>
      <c r="U19" t="s">
        <v>35</v>
      </c>
      <c r="V19" t="s">
        <v>64</v>
      </c>
      <c r="W19" t="s">
        <v>35</v>
      </c>
      <c r="X19" t="s">
        <v>37</v>
      </c>
      <c r="Y19" t="s">
        <v>35</v>
      </c>
      <c r="Z19" t="s">
        <v>37</v>
      </c>
      <c r="AA19" t="s">
        <v>35</v>
      </c>
      <c r="AB19" t="s">
        <v>35</v>
      </c>
      <c r="AC19" t="s">
        <v>37</v>
      </c>
      <c r="AD19" t="s">
        <v>35</v>
      </c>
      <c r="AE19">
        <v>1750905</v>
      </c>
      <c r="AF19" t="s">
        <v>36</v>
      </c>
      <c r="AG19" t="s">
        <v>89</v>
      </c>
      <c r="AH19" t="s">
        <v>90</v>
      </c>
      <c r="AL19" t="s">
        <v>37</v>
      </c>
      <c r="AM19" t="s">
        <v>35</v>
      </c>
      <c r="AN19" t="s">
        <v>129</v>
      </c>
      <c r="AO19" t="s">
        <v>235</v>
      </c>
      <c r="AP19" t="s">
        <v>35</v>
      </c>
      <c r="AQ19" t="s">
        <v>35</v>
      </c>
      <c r="AR19" t="s">
        <v>35</v>
      </c>
      <c r="AS19">
        <v>6</v>
      </c>
      <c r="AT19">
        <v>1</v>
      </c>
      <c r="AU19">
        <v>2026</v>
      </c>
      <c r="AV19">
        <v>13</v>
      </c>
      <c r="AW19">
        <v>1</v>
      </c>
      <c r="AX19">
        <v>2026</v>
      </c>
    </row>
    <row r="20" spans="1:50" x14ac:dyDescent="0.25">
      <c r="A20">
        <v>254</v>
      </c>
      <c r="B20" s="1">
        <v>46029</v>
      </c>
      <c r="C20" t="s">
        <v>200</v>
      </c>
      <c r="D20" t="s">
        <v>142</v>
      </c>
      <c r="E20" t="s">
        <v>236</v>
      </c>
      <c r="F20" t="s">
        <v>237</v>
      </c>
      <c r="G20" t="s">
        <v>236</v>
      </c>
      <c r="H20" t="s">
        <v>237</v>
      </c>
      <c r="I20">
        <v>1</v>
      </c>
      <c r="J20" t="s">
        <v>52</v>
      </c>
      <c r="K20" t="s">
        <v>118</v>
      </c>
      <c r="L20" s="1">
        <v>46042</v>
      </c>
      <c r="N20" t="s">
        <v>35</v>
      </c>
      <c r="O20" t="s">
        <v>56</v>
      </c>
      <c r="P20" t="s">
        <v>35</v>
      </c>
      <c r="Q20" t="s">
        <v>35</v>
      </c>
      <c r="R20" t="s">
        <v>35</v>
      </c>
      <c r="S20" t="s">
        <v>35</v>
      </c>
      <c r="T20" t="s">
        <v>35</v>
      </c>
      <c r="U20" t="s">
        <v>238</v>
      </c>
      <c r="V20" t="s">
        <v>64</v>
      </c>
      <c r="W20" t="s">
        <v>35</v>
      </c>
      <c r="X20" t="s">
        <v>36</v>
      </c>
      <c r="Y20" t="s">
        <v>73</v>
      </c>
      <c r="Z20" t="s">
        <v>36</v>
      </c>
      <c r="AA20" t="s">
        <v>153</v>
      </c>
      <c r="AB20" t="s">
        <v>35</v>
      </c>
      <c r="AC20" t="s">
        <v>36</v>
      </c>
      <c r="AD20" t="s">
        <v>239</v>
      </c>
      <c r="AE20">
        <v>4000000</v>
      </c>
      <c r="AF20" t="s">
        <v>37</v>
      </c>
      <c r="AG20" t="s">
        <v>89</v>
      </c>
      <c r="AH20" t="s">
        <v>90</v>
      </c>
      <c r="AL20" t="s">
        <v>37</v>
      </c>
      <c r="AM20" t="s">
        <v>35</v>
      </c>
      <c r="AN20" t="s">
        <v>129</v>
      </c>
      <c r="AO20" t="s">
        <v>240</v>
      </c>
      <c r="AP20" t="s">
        <v>35</v>
      </c>
      <c r="AQ20" t="s">
        <v>35</v>
      </c>
      <c r="AR20" t="s">
        <v>35</v>
      </c>
      <c r="AS20">
        <v>7</v>
      </c>
      <c r="AT20">
        <v>1</v>
      </c>
      <c r="AU20">
        <v>2026</v>
      </c>
      <c r="AV20">
        <v>20</v>
      </c>
      <c r="AW20">
        <v>1</v>
      </c>
      <c r="AX20">
        <v>2026</v>
      </c>
    </row>
    <row r="21" spans="1:50" x14ac:dyDescent="0.25">
      <c r="A21">
        <v>255</v>
      </c>
      <c r="B21" s="1">
        <v>46029</v>
      </c>
      <c r="C21" t="s">
        <v>155</v>
      </c>
      <c r="D21" t="s">
        <v>232</v>
      </c>
      <c r="E21" t="s">
        <v>156</v>
      </c>
      <c r="F21" t="s">
        <v>149</v>
      </c>
      <c r="G21" t="s">
        <v>156</v>
      </c>
      <c r="H21" t="s">
        <v>149</v>
      </c>
      <c r="I21">
        <v>1</v>
      </c>
      <c r="J21" t="s">
        <v>52</v>
      </c>
      <c r="K21" t="s">
        <v>118</v>
      </c>
      <c r="L21" s="1">
        <v>46056</v>
      </c>
      <c r="N21" t="s">
        <v>35</v>
      </c>
      <c r="O21" t="s">
        <v>56</v>
      </c>
      <c r="P21" t="s">
        <v>35</v>
      </c>
      <c r="Q21" t="s">
        <v>35</v>
      </c>
      <c r="R21" t="s">
        <v>35</v>
      </c>
      <c r="S21" t="s">
        <v>35</v>
      </c>
      <c r="T21" t="s">
        <v>35</v>
      </c>
      <c r="U21" t="s">
        <v>238</v>
      </c>
      <c r="V21" t="s">
        <v>64</v>
      </c>
      <c r="W21" t="s">
        <v>35</v>
      </c>
      <c r="X21" t="s">
        <v>36</v>
      </c>
      <c r="Y21" t="s">
        <v>73</v>
      </c>
      <c r="Z21" t="s">
        <v>36</v>
      </c>
      <c r="AA21" t="s">
        <v>153</v>
      </c>
      <c r="AB21" t="s">
        <v>35</v>
      </c>
      <c r="AC21" t="s">
        <v>36</v>
      </c>
      <c r="AD21" t="s">
        <v>239</v>
      </c>
      <c r="AE21">
        <v>4000000</v>
      </c>
      <c r="AF21" t="s">
        <v>37</v>
      </c>
      <c r="AG21" t="s">
        <v>89</v>
      </c>
      <c r="AH21" t="s">
        <v>90</v>
      </c>
      <c r="AL21" t="s">
        <v>37</v>
      </c>
      <c r="AM21" t="s">
        <v>35</v>
      </c>
      <c r="AN21" t="s">
        <v>129</v>
      </c>
      <c r="AO21" t="s">
        <v>241</v>
      </c>
      <c r="AP21" t="s">
        <v>35</v>
      </c>
      <c r="AQ21" t="s">
        <v>35</v>
      </c>
      <c r="AR21" t="s">
        <v>35</v>
      </c>
      <c r="AS21">
        <v>7</v>
      </c>
      <c r="AT21">
        <v>1</v>
      </c>
      <c r="AU21">
        <v>2026</v>
      </c>
      <c r="AV21">
        <v>3</v>
      </c>
      <c r="AW21">
        <v>2</v>
      </c>
      <c r="AX21">
        <v>2026</v>
      </c>
    </row>
    <row r="22" spans="1:50" x14ac:dyDescent="0.25">
      <c r="A22">
        <v>256</v>
      </c>
      <c r="B22" s="1">
        <v>46031</v>
      </c>
      <c r="C22" t="s">
        <v>155</v>
      </c>
      <c r="D22" t="s">
        <v>142</v>
      </c>
      <c r="E22" t="s">
        <v>57</v>
      </c>
      <c r="F22" t="s">
        <v>222</v>
      </c>
      <c r="G22" t="s">
        <v>242</v>
      </c>
      <c r="H22" t="s">
        <v>222</v>
      </c>
      <c r="I22">
        <v>1</v>
      </c>
      <c r="J22" t="s">
        <v>34</v>
      </c>
      <c r="K22" t="s">
        <v>118</v>
      </c>
      <c r="L22" s="1">
        <v>46042</v>
      </c>
      <c r="N22" t="s">
        <v>35</v>
      </c>
      <c r="O22" t="s">
        <v>57</v>
      </c>
      <c r="P22" t="s">
        <v>35</v>
      </c>
      <c r="Q22" t="s">
        <v>243</v>
      </c>
      <c r="R22" t="s">
        <v>35</v>
      </c>
      <c r="S22" t="s">
        <v>35</v>
      </c>
      <c r="T22" t="s">
        <v>35</v>
      </c>
      <c r="U22" t="s">
        <v>35</v>
      </c>
      <c r="V22" t="s">
        <v>64</v>
      </c>
      <c r="W22" t="s">
        <v>35</v>
      </c>
      <c r="X22" t="s">
        <v>36</v>
      </c>
      <c r="Y22" t="s">
        <v>160</v>
      </c>
      <c r="Z22" t="s">
        <v>36</v>
      </c>
      <c r="AA22" t="s">
        <v>153</v>
      </c>
      <c r="AB22" t="s">
        <v>35</v>
      </c>
      <c r="AC22" t="s">
        <v>37</v>
      </c>
      <c r="AD22" t="s">
        <v>35</v>
      </c>
      <c r="AE22">
        <v>3000000</v>
      </c>
      <c r="AF22" t="s">
        <v>37</v>
      </c>
      <c r="AG22" t="s">
        <v>89</v>
      </c>
      <c r="AH22" t="s">
        <v>90</v>
      </c>
      <c r="AJ22">
        <v>450000</v>
      </c>
      <c r="AL22" t="s">
        <v>37</v>
      </c>
      <c r="AM22" t="s">
        <v>35</v>
      </c>
      <c r="AN22" t="s">
        <v>129</v>
      </c>
      <c r="AO22" t="s">
        <v>244</v>
      </c>
      <c r="AP22" t="s">
        <v>35</v>
      </c>
      <c r="AQ22" t="s">
        <v>35</v>
      </c>
      <c r="AR22" t="s">
        <v>35</v>
      </c>
      <c r="AS22">
        <v>9</v>
      </c>
      <c r="AT22">
        <v>1</v>
      </c>
      <c r="AU22">
        <v>2026</v>
      </c>
      <c r="AV22">
        <v>20</v>
      </c>
      <c r="AW22">
        <v>1</v>
      </c>
      <c r="AX22">
        <v>2026</v>
      </c>
    </row>
    <row r="23" spans="1:50" x14ac:dyDescent="0.25">
      <c r="A23">
        <v>258</v>
      </c>
      <c r="B23" s="1">
        <v>46037</v>
      </c>
      <c r="C23" t="s">
        <v>155</v>
      </c>
      <c r="D23" t="s">
        <v>142</v>
      </c>
      <c r="E23" t="s">
        <v>57</v>
      </c>
      <c r="F23" t="s">
        <v>245</v>
      </c>
      <c r="G23" t="s">
        <v>57</v>
      </c>
      <c r="H23" t="s">
        <v>246</v>
      </c>
      <c r="I23">
        <v>1</v>
      </c>
      <c r="J23" t="s">
        <v>34</v>
      </c>
      <c r="K23" t="s">
        <v>118</v>
      </c>
      <c r="L23" s="1">
        <v>46063</v>
      </c>
      <c r="N23" t="s">
        <v>35</v>
      </c>
      <c r="O23" t="s">
        <v>57</v>
      </c>
      <c r="P23" t="s">
        <v>35</v>
      </c>
      <c r="Q23" t="s">
        <v>223</v>
      </c>
      <c r="R23" t="s">
        <v>35</v>
      </c>
      <c r="S23" t="s">
        <v>35</v>
      </c>
      <c r="T23" t="s">
        <v>35</v>
      </c>
      <c r="U23" t="s">
        <v>35</v>
      </c>
      <c r="V23" t="s">
        <v>139</v>
      </c>
      <c r="W23" t="s">
        <v>247</v>
      </c>
      <c r="X23" t="s">
        <v>37</v>
      </c>
      <c r="Y23" t="s">
        <v>35</v>
      </c>
      <c r="Z23" t="s">
        <v>37</v>
      </c>
      <c r="AA23" t="s">
        <v>35</v>
      </c>
      <c r="AB23" t="s">
        <v>35</v>
      </c>
      <c r="AC23" t="s">
        <v>37</v>
      </c>
      <c r="AD23" t="s">
        <v>35</v>
      </c>
      <c r="AE23">
        <v>1750905</v>
      </c>
      <c r="AF23" t="s">
        <v>36</v>
      </c>
      <c r="AG23" t="s">
        <v>38</v>
      </c>
      <c r="AH23" t="s">
        <v>130</v>
      </c>
      <c r="AJ23">
        <v>400000</v>
      </c>
      <c r="AL23" t="s">
        <v>37</v>
      </c>
      <c r="AM23" t="s">
        <v>35</v>
      </c>
      <c r="AN23" t="s">
        <v>129</v>
      </c>
      <c r="AO23" t="s">
        <v>248</v>
      </c>
      <c r="AP23" t="s">
        <v>35</v>
      </c>
      <c r="AQ23" t="s">
        <v>35</v>
      </c>
      <c r="AR23" t="s">
        <v>35</v>
      </c>
      <c r="AS23">
        <v>15</v>
      </c>
      <c r="AT23">
        <v>1</v>
      </c>
      <c r="AU23">
        <v>2026</v>
      </c>
      <c r="AV23">
        <v>10</v>
      </c>
      <c r="AW23">
        <v>2</v>
      </c>
      <c r="AX23">
        <v>2026</v>
      </c>
    </row>
    <row r="24" spans="1:50" x14ac:dyDescent="0.25">
      <c r="A24">
        <v>259</v>
      </c>
      <c r="B24" s="1">
        <v>46036</v>
      </c>
      <c r="C24" t="s">
        <v>137</v>
      </c>
      <c r="D24" t="s">
        <v>142</v>
      </c>
      <c r="E24" t="s">
        <v>57</v>
      </c>
      <c r="F24" t="s">
        <v>249</v>
      </c>
      <c r="G24" t="s">
        <v>250</v>
      </c>
      <c r="H24" t="s">
        <v>245</v>
      </c>
      <c r="I24">
        <v>1</v>
      </c>
      <c r="J24" t="s">
        <v>52</v>
      </c>
      <c r="K24" t="s">
        <v>118</v>
      </c>
      <c r="L24" s="1">
        <v>46062</v>
      </c>
      <c r="N24" t="s">
        <v>35</v>
      </c>
      <c r="O24" t="s">
        <v>57</v>
      </c>
      <c r="P24" t="s">
        <v>35</v>
      </c>
      <c r="Q24" t="s">
        <v>251</v>
      </c>
      <c r="R24" t="s">
        <v>35</v>
      </c>
      <c r="S24" t="s">
        <v>35</v>
      </c>
      <c r="T24" t="s">
        <v>35</v>
      </c>
      <c r="U24" t="s">
        <v>35</v>
      </c>
      <c r="V24" t="s">
        <v>64</v>
      </c>
      <c r="W24" t="s">
        <v>35</v>
      </c>
      <c r="X24" t="s">
        <v>36</v>
      </c>
      <c r="Y24" t="s">
        <v>187</v>
      </c>
      <c r="Z24" t="s">
        <v>36</v>
      </c>
      <c r="AA24" t="s">
        <v>141</v>
      </c>
      <c r="AB24" t="s">
        <v>35</v>
      </c>
      <c r="AC24" t="s">
        <v>37</v>
      </c>
      <c r="AD24" t="s">
        <v>35</v>
      </c>
      <c r="AE24">
        <v>1750905</v>
      </c>
      <c r="AF24" t="s">
        <v>37</v>
      </c>
      <c r="AG24" t="s">
        <v>89</v>
      </c>
      <c r="AH24" t="s">
        <v>90</v>
      </c>
      <c r="AL24" t="s">
        <v>37</v>
      </c>
      <c r="AM24" t="s">
        <v>35</v>
      </c>
      <c r="AN24" t="s">
        <v>129</v>
      </c>
      <c r="AO24" t="s">
        <v>252</v>
      </c>
      <c r="AP24" t="s">
        <v>35</v>
      </c>
      <c r="AQ24" t="s">
        <v>35</v>
      </c>
      <c r="AR24" t="s">
        <v>35</v>
      </c>
      <c r="AS24">
        <v>14</v>
      </c>
      <c r="AT24">
        <v>1</v>
      </c>
      <c r="AU24">
        <v>2026</v>
      </c>
      <c r="AV24">
        <v>9</v>
      </c>
      <c r="AW24">
        <v>2</v>
      </c>
      <c r="AX24">
        <v>2026</v>
      </c>
    </row>
    <row r="25" spans="1:50" x14ac:dyDescent="0.25">
      <c r="A25">
        <v>260</v>
      </c>
      <c r="B25" s="1">
        <v>46036</v>
      </c>
      <c r="C25" t="s">
        <v>137</v>
      </c>
      <c r="D25" t="s">
        <v>142</v>
      </c>
      <c r="E25" t="s">
        <v>162</v>
      </c>
      <c r="F25" t="s">
        <v>253</v>
      </c>
      <c r="G25" t="s">
        <v>185</v>
      </c>
      <c r="H25" t="s">
        <v>253</v>
      </c>
      <c r="I25">
        <v>1</v>
      </c>
      <c r="J25" t="s">
        <v>52</v>
      </c>
      <c r="K25" t="s">
        <v>118</v>
      </c>
      <c r="L25" s="1">
        <v>46048</v>
      </c>
      <c r="N25" t="s">
        <v>35</v>
      </c>
      <c r="O25" t="s">
        <v>132</v>
      </c>
      <c r="P25" t="s">
        <v>35</v>
      </c>
      <c r="Q25" t="s">
        <v>35</v>
      </c>
      <c r="R25" t="s">
        <v>35</v>
      </c>
      <c r="S25" t="s">
        <v>35</v>
      </c>
      <c r="T25" t="s">
        <v>254</v>
      </c>
      <c r="U25" t="s">
        <v>35</v>
      </c>
      <c r="V25" t="s">
        <v>67</v>
      </c>
      <c r="W25" t="s">
        <v>35</v>
      </c>
      <c r="X25" t="s">
        <v>37</v>
      </c>
      <c r="Y25" t="s">
        <v>35</v>
      </c>
      <c r="Z25" t="s">
        <v>37</v>
      </c>
      <c r="AA25" t="s">
        <v>35</v>
      </c>
      <c r="AB25" t="s">
        <v>35</v>
      </c>
      <c r="AC25" t="s">
        <v>37</v>
      </c>
      <c r="AD25" t="s">
        <v>35</v>
      </c>
      <c r="AE25">
        <v>1750905</v>
      </c>
      <c r="AF25" t="s">
        <v>36</v>
      </c>
      <c r="AG25" t="s">
        <v>89</v>
      </c>
      <c r="AH25" t="s">
        <v>90</v>
      </c>
      <c r="AJ25">
        <v>50000</v>
      </c>
      <c r="AL25" t="s">
        <v>37</v>
      </c>
      <c r="AM25" t="s">
        <v>35</v>
      </c>
      <c r="AN25" t="s">
        <v>129</v>
      </c>
      <c r="AO25" t="s">
        <v>255</v>
      </c>
      <c r="AP25" t="s">
        <v>35</v>
      </c>
      <c r="AQ25" t="s">
        <v>35</v>
      </c>
      <c r="AR25" t="s">
        <v>35</v>
      </c>
      <c r="AS25">
        <v>14</v>
      </c>
      <c r="AT25">
        <v>1</v>
      </c>
      <c r="AU25">
        <v>2026</v>
      </c>
      <c r="AV25">
        <v>26</v>
      </c>
      <c r="AW25">
        <v>1</v>
      </c>
      <c r="AX25">
        <v>2026</v>
      </c>
    </row>
    <row r="26" spans="1:50" x14ac:dyDescent="0.25">
      <c r="A26">
        <v>262</v>
      </c>
      <c r="B26" s="1">
        <v>46048</v>
      </c>
      <c r="C26" t="s">
        <v>200</v>
      </c>
      <c r="D26" t="s">
        <v>142</v>
      </c>
      <c r="E26" t="s">
        <v>256</v>
      </c>
      <c r="F26" t="s">
        <v>257</v>
      </c>
      <c r="G26" t="s">
        <v>258</v>
      </c>
      <c r="H26" t="s">
        <v>259</v>
      </c>
      <c r="I26">
        <v>1</v>
      </c>
      <c r="J26" t="s">
        <v>34</v>
      </c>
      <c r="K26" t="s">
        <v>118</v>
      </c>
      <c r="L26" s="1">
        <v>46076</v>
      </c>
      <c r="N26" t="s">
        <v>35</v>
      </c>
      <c r="O26" t="s">
        <v>57</v>
      </c>
      <c r="P26" t="s">
        <v>35</v>
      </c>
      <c r="Q26" t="s">
        <v>223</v>
      </c>
      <c r="R26" t="s">
        <v>35</v>
      </c>
      <c r="S26" t="s">
        <v>35</v>
      </c>
      <c r="T26" t="s">
        <v>35</v>
      </c>
      <c r="U26" t="s">
        <v>35</v>
      </c>
      <c r="V26" t="s">
        <v>67</v>
      </c>
      <c r="W26" t="s">
        <v>35</v>
      </c>
      <c r="X26" t="s">
        <v>37</v>
      </c>
      <c r="Y26" t="s">
        <v>35</v>
      </c>
      <c r="Z26" t="s">
        <v>37</v>
      </c>
      <c r="AA26" t="s">
        <v>35</v>
      </c>
      <c r="AB26" t="s">
        <v>35</v>
      </c>
      <c r="AC26" t="s">
        <v>37</v>
      </c>
      <c r="AD26" t="s">
        <v>35</v>
      </c>
      <c r="AE26">
        <v>1800000</v>
      </c>
      <c r="AF26" t="s">
        <v>36</v>
      </c>
      <c r="AG26" t="s">
        <v>89</v>
      </c>
      <c r="AH26" t="s">
        <v>90</v>
      </c>
      <c r="AJ26">
        <v>500000</v>
      </c>
      <c r="AL26" t="s">
        <v>37</v>
      </c>
      <c r="AM26" t="s">
        <v>35</v>
      </c>
      <c r="AN26" t="s">
        <v>129</v>
      </c>
      <c r="AO26" t="s">
        <v>260</v>
      </c>
      <c r="AP26" t="s">
        <v>35</v>
      </c>
      <c r="AQ26" t="s">
        <v>35</v>
      </c>
      <c r="AR26" t="s">
        <v>35</v>
      </c>
      <c r="AS26">
        <v>26</v>
      </c>
      <c r="AT26">
        <v>1</v>
      </c>
      <c r="AU26">
        <v>2026</v>
      </c>
      <c r="AV26">
        <v>23</v>
      </c>
      <c r="AW26">
        <v>2</v>
      </c>
      <c r="AX26">
        <v>2026</v>
      </c>
    </row>
    <row r="27" spans="1:50" x14ac:dyDescent="0.25">
      <c r="A27">
        <v>263</v>
      </c>
      <c r="B27" s="1">
        <v>46049</v>
      </c>
      <c r="C27" t="s">
        <v>131</v>
      </c>
      <c r="D27" t="s">
        <v>142</v>
      </c>
      <c r="E27" t="s">
        <v>167</v>
      </c>
      <c r="F27" t="s">
        <v>261</v>
      </c>
      <c r="G27" t="s">
        <v>262</v>
      </c>
      <c r="H27" t="s">
        <v>263</v>
      </c>
      <c r="I27">
        <v>1</v>
      </c>
      <c r="J27" t="s">
        <v>52</v>
      </c>
      <c r="K27" t="s">
        <v>118</v>
      </c>
      <c r="L27" s="1">
        <v>46055</v>
      </c>
      <c r="N27" t="s">
        <v>35</v>
      </c>
      <c r="O27" t="s">
        <v>143</v>
      </c>
      <c r="P27" t="s">
        <v>35</v>
      </c>
      <c r="Q27" t="s">
        <v>35</v>
      </c>
      <c r="R27" t="s">
        <v>264</v>
      </c>
      <c r="S27" t="s">
        <v>35</v>
      </c>
      <c r="T27" t="s">
        <v>35</v>
      </c>
      <c r="U27" t="s">
        <v>35</v>
      </c>
      <c r="V27" t="s">
        <v>140</v>
      </c>
      <c r="W27" t="s">
        <v>35</v>
      </c>
      <c r="X27" t="s">
        <v>36</v>
      </c>
      <c r="Y27" t="s">
        <v>160</v>
      </c>
      <c r="Z27" t="s">
        <v>36</v>
      </c>
      <c r="AA27" t="s">
        <v>265</v>
      </c>
      <c r="AB27" t="s">
        <v>35</v>
      </c>
      <c r="AC27" t="s">
        <v>37</v>
      </c>
      <c r="AD27" t="s">
        <v>35</v>
      </c>
      <c r="AE27">
        <v>3000000</v>
      </c>
      <c r="AF27" t="s">
        <v>37</v>
      </c>
      <c r="AG27" t="s">
        <v>38</v>
      </c>
      <c r="AH27" t="s">
        <v>130</v>
      </c>
      <c r="AL27" t="s">
        <v>37</v>
      </c>
      <c r="AM27" t="s">
        <v>35</v>
      </c>
      <c r="AN27" t="s">
        <v>129</v>
      </c>
      <c r="AO27" t="s">
        <v>35</v>
      </c>
      <c r="AP27" t="s">
        <v>35</v>
      </c>
      <c r="AQ27" t="s">
        <v>35</v>
      </c>
      <c r="AR27" t="s">
        <v>35</v>
      </c>
      <c r="AS27">
        <v>27</v>
      </c>
      <c r="AT27">
        <v>1</v>
      </c>
      <c r="AU27">
        <v>2026</v>
      </c>
      <c r="AV27">
        <v>2</v>
      </c>
      <c r="AW27">
        <v>2</v>
      </c>
      <c r="AX27">
        <v>2026</v>
      </c>
    </row>
    <row r="28" spans="1:50" x14ac:dyDescent="0.25">
      <c r="A28">
        <v>264</v>
      </c>
      <c r="B28" s="1">
        <v>46051</v>
      </c>
      <c r="C28" t="s">
        <v>137</v>
      </c>
      <c r="D28" t="s">
        <v>142</v>
      </c>
      <c r="E28" t="s">
        <v>183</v>
      </c>
      <c r="F28" t="s">
        <v>266</v>
      </c>
      <c r="G28" t="s">
        <v>262</v>
      </c>
      <c r="H28" t="s">
        <v>266</v>
      </c>
      <c r="I28">
        <v>1</v>
      </c>
      <c r="J28" t="s">
        <v>52</v>
      </c>
      <c r="K28" t="s">
        <v>118</v>
      </c>
      <c r="L28" s="1">
        <v>46076</v>
      </c>
      <c r="N28" t="s">
        <v>35</v>
      </c>
      <c r="O28" t="s">
        <v>56</v>
      </c>
      <c r="P28" t="s">
        <v>35</v>
      </c>
      <c r="Q28" t="s">
        <v>35</v>
      </c>
      <c r="R28" t="s">
        <v>35</v>
      </c>
      <c r="S28" t="s">
        <v>35</v>
      </c>
      <c r="T28" t="s">
        <v>35</v>
      </c>
      <c r="U28" t="s">
        <v>267</v>
      </c>
      <c r="V28" t="s">
        <v>140</v>
      </c>
      <c r="W28" t="s">
        <v>35</v>
      </c>
      <c r="X28" t="s">
        <v>36</v>
      </c>
      <c r="Y28" t="s">
        <v>160</v>
      </c>
      <c r="Z28" t="s">
        <v>36</v>
      </c>
      <c r="AA28" t="s">
        <v>141</v>
      </c>
      <c r="AB28" t="s">
        <v>35</v>
      </c>
      <c r="AC28" t="s">
        <v>37</v>
      </c>
      <c r="AD28" t="s">
        <v>35</v>
      </c>
      <c r="AE28">
        <v>3500000</v>
      </c>
      <c r="AF28" t="s">
        <v>37</v>
      </c>
      <c r="AG28" t="s">
        <v>89</v>
      </c>
      <c r="AH28" t="s">
        <v>90</v>
      </c>
      <c r="AL28" t="s">
        <v>36</v>
      </c>
      <c r="AM28" t="s">
        <v>268</v>
      </c>
      <c r="AN28" t="s">
        <v>129</v>
      </c>
      <c r="AO28" t="s">
        <v>269</v>
      </c>
      <c r="AP28" t="s">
        <v>35</v>
      </c>
      <c r="AQ28" t="s">
        <v>35</v>
      </c>
      <c r="AR28" t="s">
        <v>35</v>
      </c>
      <c r="AS28">
        <v>29</v>
      </c>
      <c r="AT28">
        <v>1</v>
      </c>
      <c r="AU28">
        <v>2026</v>
      </c>
      <c r="AV28">
        <v>23</v>
      </c>
      <c r="AW28">
        <v>2</v>
      </c>
      <c r="AX28">
        <v>2026</v>
      </c>
    </row>
    <row r="29" spans="1:50" x14ac:dyDescent="0.25">
      <c r="A29">
        <v>265</v>
      </c>
      <c r="B29" s="1">
        <v>46052</v>
      </c>
      <c r="C29" t="s">
        <v>155</v>
      </c>
      <c r="D29" t="s">
        <v>142</v>
      </c>
      <c r="E29" t="s">
        <v>270</v>
      </c>
      <c r="F29" t="s">
        <v>271</v>
      </c>
      <c r="G29" t="s">
        <v>270</v>
      </c>
      <c r="H29" t="s">
        <v>222</v>
      </c>
      <c r="I29">
        <v>1</v>
      </c>
      <c r="J29" t="s">
        <v>34</v>
      </c>
      <c r="K29" t="s">
        <v>118</v>
      </c>
      <c r="L29" s="1">
        <v>46063</v>
      </c>
      <c r="N29" t="s">
        <v>35</v>
      </c>
      <c r="O29" t="s">
        <v>57</v>
      </c>
      <c r="P29" t="s">
        <v>35</v>
      </c>
      <c r="Q29" t="s">
        <v>272</v>
      </c>
      <c r="R29" t="s">
        <v>35</v>
      </c>
      <c r="S29" t="s">
        <v>35</v>
      </c>
      <c r="T29" t="s">
        <v>35</v>
      </c>
      <c r="U29" t="s">
        <v>35</v>
      </c>
      <c r="V29" t="s">
        <v>64</v>
      </c>
      <c r="W29" t="s">
        <v>35</v>
      </c>
      <c r="X29" t="s">
        <v>37</v>
      </c>
      <c r="Y29" t="s">
        <v>35</v>
      </c>
      <c r="Z29" t="s">
        <v>37</v>
      </c>
      <c r="AA29" t="s">
        <v>35</v>
      </c>
      <c r="AB29" t="s">
        <v>35</v>
      </c>
      <c r="AC29" t="s">
        <v>37</v>
      </c>
      <c r="AD29" t="s">
        <v>35</v>
      </c>
      <c r="AE29">
        <v>1750905</v>
      </c>
      <c r="AF29" t="s">
        <v>36</v>
      </c>
      <c r="AG29" t="s">
        <v>89</v>
      </c>
      <c r="AH29" t="s">
        <v>90</v>
      </c>
      <c r="AL29" t="s">
        <v>37</v>
      </c>
      <c r="AM29" t="s">
        <v>35</v>
      </c>
      <c r="AN29" t="s">
        <v>129</v>
      </c>
      <c r="AO29" t="s">
        <v>273</v>
      </c>
      <c r="AP29" t="s">
        <v>35</v>
      </c>
      <c r="AQ29" t="s">
        <v>35</v>
      </c>
      <c r="AR29" t="s">
        <v>35</v>
      </c>
      <c r="AS29">
        <v>30</v>
      </c>
      <c r="AT29">
        <v>1</v>
      </c>
      <c r="AU29">
        <v>2026</v>
      </c>
      <c r="AV29">
        <v>10</v>
      </c>
      <c r="AW29">
        <v>2</v>
      </c>
      <c r="AX29">
        <v>2026</v>
      </c>
    </row>
    <row r="30" spans="1:50" x14ac:dyDescent="0.25">
      <c r="A30">
        <v>266</v>
      </c>
      <c r="B30" s="1">
        <v>46052</v>
      </c>
      <c r="C30" t="s">
        <v>155</v>
      </c>
      <c r="D30" t="s">
        <v>142</v>
      </c>
      <c r="E30" t="s">
        <v>270</v>
      </c>
      <c r="F30" t="s">
        <v>271</v>
      </c>
      <c r="G30" t="s">
        <v>270</v>
      </c>
      <c r="H30" t="s">
        <v>274</v>
      </c>
      <c r="I30">
        <v>1</v>
      </c>
      <c r="J30" t="s">
        <v>34</v>
      </c>
      <c r="K30" t="s">
        <v>118</v>
      </c>
      <c r="L30" s="1">
        <v>46063</v>
      </c>
      <c r="N30" t="s">
        <v>35</v>
      </c>
      <c r="O30" t="s">
        <v>57</v>
      </c>
      <c r="P30" t="s">
        <v>35</v>
      </c>
      <c r="Q30" t="s">
        <v>226</v>
      </c>
      <c r="R30" t="s">
        <v>35</v>
      </c>
      <c r="S30" t="s">
        <v>35</v>
      </c>
      <c r="T30" t="s">
        <v>35</v>
      </c>
      <c r="U30" t="s">
        <v>35</v>
      </c>
      <c r="V30" t="s">
        <v>64</v>
      </c>
      <c r="W30" t="s">
        <v>35</v>
      </c>
      <c r="X30" t="s">
        <v>37</v>
      </c>
      <c r="Y30" t="s">
        <v>35</v>
      </c>
      <c r="Z30" t="s">
        <v>37</v>
      </c>
      <c r="AA30" t="s">
        <v>35</v>
      </c>
      <c r="AB30" t="s">
        <v>35</v>
      </c>
      <c r="AC30" t="s">
        <v>37</v>
      </c>
      <c r="AD30" t="s">
        <v>35</v>
      </c>
      <c r="AE30">
        <v>1750905</v>
      </c>
      <c r="AF30" t="s">
        <v>36</v>
      </c>
      <c r="AG30" t="s">
        <v>89</v>
      </c>
      <c r="AH30" t="s">
        <v>90</v>
      </c>
      <c r="AL30" t="s">
        <v>37</v>
      </c>
      <c r="AM30" t="s">
        <v>35</v>
      </c>
      <c r="AN30" t="s">
        <v>129</v>
      </c>
      <c r="AO30" t="s">
        <v>275</v>
      </c>
      <c r="AP30" t="s">
        <v>35</v>
      </c>
      <c r="AQ30" t="s">
        <v>35</v>
      </c>
      <c r="AR30" t="s">
        <v>35</v>
      </c>
      <c r="AS30">
        <v>30</v>
      </c>
      <c r="AT30">
        <v>1</v>
      </c>
      <c r="AU30">
        <v>2026</v>
      </c>
      <c r="AV30">
        <v>10</v>
      </c>
      <c r="AW30">
        <v>2</v>
      </c>
      <c r="AX30">
        <v>2026</v>
      </c>
    </row>
    <row r="31" spans="1:50" x14ac:dyDescent="0.25">
      <c r="A31">
        <v>267</v>
      </c>
      <c r="B31" s="1">
        <v>46056</v>
      </c>
      <c r="C31" t="s">
        <v>131</v>
      </c>
      <c r="D31" t="s">
        <v>142</v>
      </c>
      <c r="E31" t="s">
        <v>276</v>
      </c>
      <c r="F31" t="s">
        <v>277</v>
      </c>
      <c r="G31" t="s">
        <v>278</v>
      </c>
      <c r="H31" t="s">
        <v>277</v>
      </c>
      <c r="I31">
        <v>1</v>
      </c>
      <c r="J31" t="s">
        <v>34</v>
      </c>
      <c r="K31" t="s">
        <v>118</v>
      </c>
      <c r="L31" s="1">
        <v>46063</v>
      </c>
      <c r="N31" t="s">
        <v>279</v>
      </c>
      <c r="O31" t="s">
        <v>132</v>
      </c>
      <c r="P31" t="s">
        <v>35</v>
      </c>
      <c r="Q31" t="s">
        <v>35</v>
      </c>
      <c r="R31" t="s">
        <v>35</v>
      </c>
      <c r="S31" t="s">
        <v>35</v>
      </c>
      <c r="T31" t="s">
        <v>280</v>
      </c>
      <c r="U31" t="s">
        <v>35</v>
      </c>
      <c r="V31" t="s">
        <v>140</v>
      </c>
      <c r="W31" t="s">
        <v>35</v>
      </c>
      <c r="X31" t="s">
        <v>37</v>
      </c>
      <c r="Y31" t="s">
        <v>35</v>
      </c>
      <c r="Z31" t="s">
        <v>37</v>
      </c>
      <c r="AA31" t="s">
        <v>35</v>
      </c>
      <c r="AB31" t="s">
        <v>35</v>
      </c>
      <c r="AC31" t="s">
        <v>37</v>
      </c>
      <c r="AD31" t="s">
        <v>35</v>
      </c>
      <c r="AE31">
        <v>1750905</v>
      </c>
      <c r="AF31" t="s">
        <v>36</v>
      </c>
      <c r="AG31" t="s">
        <v>89</v>
      </c>
      <c r="AH31" t="s">
        <v>130</v>
      </c>
      <c r="AJ31">
        <v>500000</v>
      </c>
      <c r="AL31" t="s">
        <v>37</v>
      </c>
      <c r="AM31" t="s">
        <v>35</v>
      </c>
      <c r="AN31" t="s">
        <v>129</v>
      </c>
      <c r="AO31" t="s">
        <v>35</v>
      </c>
      <c r="AP31" t="s">
        <v>35</v>
      </c>
      <c r="AQ31" t="s">
        <v>35</v>
      </c>
      <c r="AR31" t="s">
        <v>35</v>
      </c>
      <c r="AS31">
        <v>3</v>
      </c>
      <c r="AT31">
        <v>2</v>
      </c>
      <c r="AU31">
        <v>2026</v>
      </c>
      <c r="AV31">
        <v>10</v>
      </c>
      <c r="AW31">
        <v>2</v>
      </c>
      <c r="AX31">
        <v>2026</v>
      </c>
    </row>
  </sheetData>
  <sheetProtection algorithmName="SHA-512" hashValue="PrKy+jNlUjkElTy/RFqiGdoV5ljYKeoL14Gh8+gA2VRUbBDOgBoYk1wYfUMuOMsUClykJFHDJPgv3vpsVfibew==" saltValue="uNeCnful/2TlmtgneCrkYg==" spinCount="100000" sheet="1" objects="1" scenarios="1"/>
  <phoneticPr fontId="20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656A41-B502-4F7B-B336-6939219A797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66</vt:i4>
      </vt:variant>
    </vt:vector>
  </HeadingPairs>
  <TitlesOfParts>
    <vt:vector size="68" baseType="lpstr">
      <vt:lpstr>V11</vt:lpstr>
      <vt:lpstr>RESPUESTA FORMULARIO</vt:lpstr>
      <vt:lpstr>AÑO</vt:lpstr>
      <vt:lpstr>AÑO_INGRESO</vt:lpstr>
      <vt:lpstr>AREA_ADM</vt:lpstr>
      <vt:lpstr>AREA_ADN</vt:lpstr>
      <vt:lpstr>AREA_COM</vt:lpstr>
      <vt:lpstr>'V11'!Área_de_impresión</vt:lpstr>
      <vt:lpstr>AREA_PRD</vt:lpstr>
      <vt:lpstr>AREA_PRY</vt:lpstr>
      <vt:lpstr>AREA_YAK</vt:lpstr>
      <vt:lpstr>AUX_ALIMENTACION</vt:lpstr>
      <vt:lpstr>AUX_MOVILIZACION</vt:lpstr>
      <vt:lpstr>AUX_VIVIENDA</vt:lpstr>
      <vt:lpstr>CANTIDAD_PERSONAS</vt:lpstr>
      <vt:lpstr>CARGO</vt:lpstr>
      <vt:lpstr>CAUSAL_EXPLICA</vt:lpstr>
      <vt:lpstr>CAUSAL_INCREMENTO</vt:lpstr>
      <vt:lpstr>CAUSAL_NUEVO_CARGO</vt:lpstr>
      <vt:lpstr>CAUSAL_OTRO</vt:lpstr>
      <vt:lpstr>CAUSAL_REEMPLAZO_INCAP_ARL</vt:lpstr>
      <vt:lpstr>CAUSAL_REEMPLAZO_INCAP_EPS</vt:lpstr>
      <vt:lpstr>CAUSAL_REEMPLAZO_MATERNIDAD</vt:lpstr>
      <vt:lpstr>CAUSAL_REEMPLAZO_RETIRO</vt:lpstr>
      <vt:lpstr>CAUSAL_REEMPLAZO_VACACIONES</vt:lpstr>
      <vt:lpstr>CAUSAL_TERMINACION</vt:lpstr>
      <vt:lpstr>CENTRO_COSTO</vt:lpstr>
      <vt:lpstr>CIUDAD</vt:lpstr>
      <vt:lpstr>CONSECUTIVO</vt:lpstr>
      <vt:lpstr>CONTRATO_AÑO</vt:lpstr>
      <vt:lpstr>CONTRATO_APRENDIZ</vt:lpstr>
      <vt:lpstr>CONTRATO_DIRECTO</vt:lpstr>
      <vt:lpstr>CONTRATO_INDEFINIDO</vt:lpstr>
      <vt:lpstr>CONTRATO_OBRA</vt:lpstr>
      <vt:lpstr>CONTRATO_TEMPORAL</vt:lpstr>
      <vt:lpstr>DIA</vt:lpstr>
      <vt:lpstr>DIA_INGRESO</vt:lpstr>
      <vt:lpstr>DIRECCION_OBRA</vt:lpstr>
      <vt:lpstr>DURACION_CONTRATO</vt:lpstr>
      <vt:lpstr>ENCARGADO</vt:lpstr>
      <vt:lpstr>EXTRAS_NO</vt:lpstr>
      <vt:lpstr>EXTRAS_SI</vt:lpstr>
      <vt:lpstr>LINEA_SIMCARD</vt:lpstr>
      <vt:lpstr>MES</vt:lpstr>
      <vt:lpstr>MES_INGRESO</vt:lpstr>
      <vt:lpstr>NO_APLICA</vt:lpstr>
      <vt:lpstr>NOMBRE_OBRA</vt:lpstr>
      <vt:lpstr>NOMBRE_SOLICITANTE</vt:lpstr>
      <vt:lpstr>OFICINA_ARCHIVADOR</vt:lpstr>
      <vt:lpstr>OFICINA_ESCRITORIO</vt:lpstr>
      <vt:lpstr>OFICINA_LOCKER</vt:lpstr>
      <vt:lpstr>OFICINA_MODULO</vt:lpstr>
      <vt:lpstr>OFICINA_SILLA</vt:lpstr>
      <vt:lpstr>OT</vt:lpstr>
      <vt:lpstr>PERFIL_O</vt:lpstr>
      <vt:lpstr>PLAN_ALTO</vt:lpstr>
      <vt:lpstr>PLAN_BASICO</vt:lpstr>
      <vt:lpstr>PLAN_MEDIO</vt:lpstr>
      <vt:lpstr>PROGRAMAS_CUALES</vt:lpstr>
      <vt:lpstr>PROGRAMAS_ESPECIALES</vt:lpstr>
      <vt:lpstr>SALARIO_ASIGNADO</vt:lpstr>
      <vt:lpstr>SI_APLICA</vt:lpstr>
      <vt:lpstr>TECNOLO_CORREO</vt:lpstr>
      <vt:lpstr>TECNOLO_DESKTOP</vt:lpstr>
      <vt:lpstr>TECNOLO_EXT</vt:lpstr>
      <vt:lpstr>TECNOLO_PORTATIL</vt:lpstr>
      <vt:lpstr>TECNOLO_RED</vt:lpstr>
      <vt:lpstr>TOTAL_AUX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Mejoramiento Continuo</dc:creator>
  <cp:lastModifiedBy>Mejoramiento Continuo</cp:lastModifiedBy>
  <cp:lastPrinted>2025-10-01T15:33:30Z</cp:lastPrinted>
  <dcterms:created xsi:type="dcterms:W3CDTF">2025-08-14T18:55:04Z</dcterms:created>
  <dcterms:modified xsi:type="dcterms:W3CDTF">2026-02-24T16:38:00Z</dcterms:modified>
</cp:coreProperties>
</file>