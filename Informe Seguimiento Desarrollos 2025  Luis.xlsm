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3.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lerv8093\Documents\DESARROLLOS\"/>
    </mc:Choice>
  </mc:AlternateContent>
  <xr:revisionPtr revIDLastSave="0" documentId="13_ncr:1_{8EF15E91-D9FC-4B9F-91AF-3B95309F6437}" xr6:coauthVersionLast="47" xr6:coauthVersionMax="47" xr10:uidLastSave="{00000000-0000-0000-0000-000000000000}"/>
  <bookViews>
    <workbookView xWindow="-120" yWindow="-120" windowWidth="20730" windowHeight="11040" tabRatio="512" firstSheet="1" activeTab="1" xr2:uid="{1AAC2F52-E97B-43BF-9243-1879CA6B8E8E}"/>
  </bookViews>
  <sheets>
    <sheet name="INST-PRUEBAS" sheetId="5" state="hidden" r:id="rId1"/>
    <sheet name="Entrega" sheetId="1" r:id="rId2"/>
    <sheet name="Hoja3" sheetId="12" r:id="rId3"/>
    <sheet name="Hoja2" sheetId="11" r:id="rId4"/>
    <sheet name="Prioridades" sheetId="7" r:id="rId5"/>
    <sheet name="Rendicion De cuentas" sheetId="8" state="hidden" r:id="rId6"/>
    <sheet name="Exporte_Normalizado" sheetId="3" r:id="rId7"/>
    <sheet name="Exporte 1" sheetId="2" r:id="rId8"/>
    <sheet name="Hoja1" sheetId="10" state="hidden" r:id="rId9"/>
    <sheet name="Log" sheetId="9" r:id="rId10"/>
  </sheets>
  <functionGroups builtInGroupCount="19"/>
  <definedNames>
    <definedName name="_xlnm._FilterDatabase" localSheetId="1" hidden="1">Entrega!$B$16:$U$120</definedName>
    <definedName name="_xlnm._FilterDatabase" localSheetId="8" hidden="1">Hoja1!$B$23:$E$51</definedName>
    <definedName name="_xlnm._FilterDatabase" localSheetId="0" hidden="1">'INST-PRUEBAS'!$C$2:$J$12</definedName>
    <definedName name="Database">Entrega!$A$16:$V$120</definedName>
    <definedName name="DatosExternos_1" localSheetId="6" hidden="1">Exporte_Normalizado!$A$1:$T$24</definedName>
    <definedName name="DatosExternos_1" localSheetId="8" hidden="1">Hoja1!$B$2:$K$17</definedName>
    <definedName name="DatosExternos_1" localSheetId="9" hidden="1">Log!$I$1:$N$272</definedName>
    <definedName name="DatosExternos_2" localSheetId="6" hidden="1">Exporte_Normalizado!$Z$1:$AE$5</definedName>
    <definedName name="HOY">Entrega!$C$1</definedName>
    <definedName name="SegmentaciónDeDatos_Area1">#N/A</definedName>
    <definedName name="SegmentaciónDeDatos_ATENDIDO">#N/A</definedName>
    <definedName name="SegmentaciónDeDatos_Estado">#N/A</definedName>
    <definedName name="SegmentaciónDeDatos_Progreso">#N/A</definedName>
    <definedName name="SegmentaciónDeDatos_Proveedor">#N/A</definedName>
    <definedName name="SegmentaciónDeDatos_Tipo">#N/A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4:slicerCache r:id="rId13"/>
        <x14:slicerCache r:id="rId14"/>
        <x14:slicerCache r:id="rId15"/>
        <x14:slicerCache r:id="rId1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7" i="1" l="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A53" i="1"/>
  <c r="A55" i="1"/>
  <c r="A119" i="1"/>
  <c r="A56" i="1"/>
  <c r="X53" i="1"/>
  <c r="X55" i="1"/>
  <c r="X119" i="1"/>
  <c r="X56" i="1"/>
  <c r="A81" i="1"/>
  <c r="A115" i="1"/>
  <c r="A116" i="1"/>
  <c r="X81" i="1"/>
  <c r="X115" i="1"/>
  <c r="X116" i="1"/>
  <c r="K3" i="1"/>
  <c r="K4" i="1" s="1"/>
  <c r="L4" i="1" s="1"/>
  <c r="A97" i="1"/>
  <c r="X97" i="1"/>
  <c r="A54" i="1"/>
  <c r="A87" i="1"/>
  <c r="A104" i="1"/>
  <c r="X54" i="1"/>
  <c r="X87" i="1"/>
  <c r="X104" i="1"/>
  <c r="B13" i="11"/>
  <c r="T11" i="1" l="1" a="1"/>
  <c r="T11" i="1" s="1"/>
  <c r="T10" i="1" a="1"/>
  <c r="T10" i="1" s="1"/>
  <c r="T2" i="1" a="1"/>
  <c r="T2" i="1" s="1"/>
  <c r="T1" i="1" a="1"/>
  <c r="T1" i="1" s="1"/>
  <c r="T9" i="1" a="1"/>
  <c r="T9" i="1" s="1"/>
  <c r="T8" i="1" a="1"/>
  <c r="T8" i="1" s="1"/>
  <c r="T7" i="1" a="1"/>
  <c r="T7" i="1" s="1"/>
  <c r="T6" i="1" a="1"/>
  <c r="T6" i="1" s="1"/>
  <c r="T5" i="1" a="1"/>
  <c r="T5" i="1" s="1"/>
  <c r="T4" i="1" a="1"/>
  <c r="T4" i="1" s="1"/>
  <c r="T3" i="1" a="1"/>
  <c r="T3" i="1" s="1"/>
  <c r="A99" i="1"/>
  <c r="X99" i="1"/>
  <c r="A50" i="1"/>
  <c r="A51" i="1"/>
  <c r="A52" i="1"/>
  <c r="A98" i="1"/>
  <c r="X50" i="1"/>
  <c r="X51" i="1"/>
  <c r="X52" i="1"/>
  <c r="X98" i="1"/>
  <c r="R8" i="1"/>
  <c r="A86" i="1"/>
  <c r="X86" i="1"/>
  <c r="A105" i="1"/>
  <c r="X105" i="1"/>
  <c r="A102" i="1"/>
  <c r="X102" i="1"/>
  <c r="R5" i="1"/>
  <c r="R6" i="1"/>
  <c r="S1" i="1"/>
  <c r="T12" i="1" l="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88" i="1"/>
  <c r="X92" i="1"/>
  <c r="X57" i="1"/>
  <c r="X58" i="1"/>
  <c r="X59" i="1"/>
  <c r="X60" i="1"/>
  <c r="X61" i="1"/>
  <c r="X62" i="1"/>
  <c r="X63" i="1"/>
  <c r="X64" i="1"/>
  <c r="X65" i="1"/>
  <c r="X66" i="1"/>
  <c r="X67" i="1"/>
  <c r="X68" i="1"/>
  <c r="X69" i="1"/>
  <c r="X70" i="1"/>
  <c r="X71" i="1"/>
  <c r="X72" i="1"/>
  <c r="X73" i="1"/>
  <c r="X74" i="1"/>
  <c r="X75" i="1"/>
  <c r="X76" i="1"/>
  <c r="X77" i="1"/>
  <c r="X78" i="1"/>
  <c r="X79" i="1"/>
  <c r="X80" i="1"/>
  <c r="X84" i="1"/>
  <c r="X82" i="1"/>
  <c r="X83" i="1"/>
  <c r="X91" i="1"/>
  <c r="X46" i="1"/>
  <c r="X95" i="1"/>
  <c r="X90" i="1"/>
  <c r="X89" i="1"/>
  <c r="X100" i="1"/>
  <c r="X47" i="1"/>
  <c r="X96" i="1"/>
  <c r="X94" i="1"/>
  <c r="X103" i="1"/>
  <c r="S5" i="1" s="1"/>
  <c r="X48" i="1"/>
  <c r="X101" i="1"/>
  <c r="X107" i="1"/>
  <c r="X49" i="1"/>
  <c r="X109" i="1"/>
  <c r="X106" i="1"/>
  <c r="X110" i="1"/>
  <c r="X112" i="1"/>
  <c r="X108" i="1"/>
  <c r="X113" i="1"/>
  <c r="X85" i="1"/>
  <c r="X111" i="1"/>
  <c r="X114" i="1"/>
  <c r="X118" i="1"/>
  <c r="X117" i="1"/>
  <c r="X93" i="1"/>
  <c r="X120"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88" i="1"/>
  <c r="A92" i="1"/>
  <c r="A57" i="1"/>
  <c r="A58" i="1"/>
  <c r="A59" i="1"/>
  <c r="A60" i="1"/>
  <c r="A61" i="1"/>
  <c r="A62" i="1"/>
  <c r="A63" i="1"/>
  <c r="A64" i="1"/>
  <c r="A65" i="1"/>
  <c r="A66" i="1"/>
  <c r="A67" i="1"/>
  <c r="A68" i="1"/>
  <c r="A69" i="1"/>
  <c r="A70" i="1"/>
  <c r="A71" i="1"/>
  <c r="A72" i="1"/>
  <c r="A73" i="1"/>
  <c r="A74" i="1"/>
  <c r="A75" i="1"/>
  <c r="A76" i="1"/>
  <c r="A77" i="1"/>
  <c r="A78" i="1"/>
  <c r="A79" i="1"/>
  <c r="A80" i="1"/>
  <c r="A84" i="1"/>
  <c r="A82" i="1"/>
  <c r="A83" i="1"/>
  <c r="A91" i="1"/>
  <c r="A46" i="1"/>
  <c r="A95" i="1"/>
  <c r="A90" i="1"/>
  <c r="A89" i="1"/>
  <c r="A100" i="1"/>
  <c r="A47" i="1"/>
  <c r="A96" i="1"/>
  <c r="A94" i="1"/>
  <c r="A103" i="1"/>
  <c r="A48" i="1"/>
  <c r="A101" i="1"/>
  <c r="A107" i="1"/>
  <c r="A49" i="1"/>
  <c r="A109" i="1"/>
  <c r="A106" i="1"/>
  <c r="A110" i="1"/>
  <c r="A112" i="1"/>
  <c r="A108" i="1"/>
  <c r="A113" i="1"/>
  <c r="A85" i="1"/>
  <c r="A111" i="1"/>
  <c r="A118" i="1"/>
  <c r="A93" i="1"/>
  <c r="A120" i="1"/>
  <c r="S9" i="1" l="1"/>
  <c r="S7" i="1"/>
  <c r="S6" i="1"/>
  <c r="S10" i="1"/>
  <c r="S11" i="1"/>
  <c r="S8" i="1"/>
  <c r="S4" i="1"/>
  <c r="S2" i="1"/>
  <c r="S3" i="1"/>
  <c r="R7" i="1"/>
  <c r="R9" i="1"/>
  <c r="R10" i="1"/>
  <c r="R11" i="1"/>
  <c r="S12" i="1" l="1"/>
  <c r="R2" i="1"/>
  <c r="R3" i="1"/>
  <c r="R4" i="1"/>
  <c r="R1" i="1"/>
  <c r="W2" i="1"/>
  <c r="W3" i="1"/>
  <c r="W1" i="1"/>
  <c r="C1" i="1"/>
  <c r="G53" i="1" l="1"/>
  <c r="G55" i="1"/>
  <c r="G119" i="1"/>
  <c r="G56" i="1"/>
  <c r="G97" i="1"/>
  <c r="G116" i="1"/>
  <c r="G81" i="1"/>
  <c r="G115" i="1"/>
  <c r="G54" i="1"/>
  <c r="G87" i="1"/>
  <c r="G104" i="1"/>
  <c r="G99" i="1"/>
  <c r="G86" i="1"/>
  <c r="G51" i="1"/>
  <c r="G52" i="1"/>
  <c r="G98" i="1"/>
  <c r="G50" i="1"/>
  <c r="G105" i="1"/>
  <c r="G45" i="1"/>
  <c r="G102" i="1"/>
  <c r="G30" i="1"/>
  <c r="G92" i="1"/>
  <c r="G103" i="1"/>
  <c r="R12" i="1"/>
  <c r="G120" i="1"/>
  <c r="G47" i="1"/>
  <c r="G58" i="1"/>
  <c r="G63" i="1"/>
  <c r="G100" i="1"/>
  <c r="G107" i="1"/>
  <c r="G49" i="1"/>
  <c r="G109" i="1"/>
  <c r="G44" i="1"/>
  <c r="G64" i="1"/>
  <c r="G26" i="1"/>
  <c r="G117" i="1"/>
  <c r="G35" i="1"/>
  <c r="G83" i="1"/>
  <c r="G89" i="1"/>
  <c r="G111" i="1"/>
  <c r="G21" i="1"/>
  <c r="G27" i="1"/>
  <c r="G73" i="1"/>
  <c r="G36" i="1"/>
  <c r="G37" i="1"/>
  <c r="G88" i="1"/>
  <c r="G59" i="1"/>
  <c r="G22" i="1"/>
  <c r="G70" i="1"/>
  <c r="G74" i="1"/>
  <c r="G95" i="1"/>
  <c r="G38" i="1"/>
  <c r="G60" i="1"/>
  <c r="G23" i="1"/>
  <c r="G108" i="1"/>
  <c r="G76" i="1"/>
  <c r="G39" i="1"/>
  <c r="G91" i="1"/>
  <c r="G24" i="1"/>
  <c r="G28" i="1"/>
  <c r="G113" i="1"/>
  <c r="G77" i="1"/>
  <c r="G40" i="1"/>
  <c r="G114" i="1"/>
  <c r="G25" i="1"/>
  <c r="G71" i="1"/>
  <c r="G46" i="1"/>
  <c r="G78" i="1"/>
  <c r="G94" i="1"/>
  <c r="G17" i="1"/>
  <c r="G61" i="1"/>
  <c r="G65" i="1"/>
  <c r="G72" i="1"/>
  <c r="G31" i="1"/>
  <c r="G79" i="1"/>
  <c r="G41" i="1"/>
  <c r="G96" i="1"/>
  <c r="G110" i="1"/>
  <c r="G66" i="1"/>
  <c r="G29" i="1"/>
  <c r="G32" i="1"/>
  <c r="G80" i="1"/>
  <c r="G42" i="1"/>
  <c r="G18" i="1"/>
  <c r="G48" i="1"/>
  <c r="G67" i="1"/>
  <c r="G101" i="1"/>
  <c r="G75" i="1"/>
  <c r="G85" i="1"/>
  <c r="G43" i="1"/>
  <c r="G19" i="1"/>
  <c r="G20" i="1"/>
  <c r="G68" i="1"/>
  <c r="G118" i="1"/>
  <c r="G33" i="1"/>
  <c r="G106" i="1"/>
  <c r="G90" i="1"/>
  <c r="G57" i="1"/>
  <c r="G62" i="1"/>
  <c r="G69" i="1"/>
  <c r="G112" i="1"/>
  <c r="G34" i="1"/>
  <c r="G93" i="1"/>
  <c r="G82" i="1"/>
  <c r="G84" i="1"/>
  <c r="W4" i="1"/>
  <c r="G15"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A38B27-BB1B-4322-A1C4-DE2132CD351D}" keepAlive="1" name="Consulta - Control" description="Conexión a la consulta 'Control' en el libro." type="5" refreshedVersion="0" background="1">
    <dbPr connection="Provider=Microsoft.Mashup.OleDb.1;Data Source=$Workbook$;Location=Control;Extended Properties=&quot;&quot;" command="SELECT * FROM [Control]"/>
  </connection>
  <connection id="2" xr16:uid="{4BACC7DF-7EEA-4481-8FE7-34E51402917D}" keepAlive="1" name="Consulta - Control Para SIDE" description="Conexión a la consulta 'Control Para SIDE' en el libro." type="5" refreshedVersion="8" background="1" saveData="1">
    <dbPr connection="Provider=Microsoft.Mashup.OleDb.1;Data Source=$Workbook$;Location=&quot;Control Para SIDE&quot;;Extended Properties=&quot;&quot;" command="SELECT * FROM [Control Para SIDE]"/>
  </connection>
  <connection id="3" xr16:uid="{FEC45F95-D73D-48BC-A3D9-C1EB4160C613}" keepAlive="1" name="Consulta - Exporte" description="Conexión a la consulta 'Exporte' en el libro." type="5" refreshedVersion="8" background="1" saveData="1">
    <dbPr connection="Provider=Microsoft.Mashup.OleDb.1;Data Source=$Workbook$;Location=Exporte;Extended Properties=&quot;&quot;" command="SELECT * FROM [Exporte]"/>
  </connection>
  <connection id="4" xr16:uid="{B58EF701-ED0A-497A-BDED-B62A4FDC5409}" keepAlive="1" name="Consulta - Exporte (2)" description="Conexión a la consulta 'Exporte (2)' en el libro." type="5" refreshedVersion="0" background="1">
    <dbPr connection="Provider=Microsoft.Mashup.OleDb.1;Data Source=$Workbook$;Location=&quot;Exporte (2)&quot;;Extended Properties=&quot;&quot;" command="SELECT * FROM [Exporte (2)]"/>
  </connection>
  <connection id="5" xr16:uid="{5315366E-F7C0-427B-A3D1-868919830840}" keepAlive="1" name="Consulta - Informe" description="Conexión a la consulta 'Informe' en el libro." type="5" refreshedVersion="8" background="1" saveData="1">
    <dbPr connection="Provider=Microsoft.Mashup.OleDb.1;Data Source=$Workbook$;Location=Informe;Extended Properties=&quot;&quot;" command="SELECT * FROM [Informe]"/>
  </connection>
  <connection id="6" xr16:uid="{2D0D06C8-20F8-4212-B016-C8DC2F42D34F}" keepAlive="1" name="Consulta - Tabla6" description="Conexión a la consulta 'Tabla6' en el libro." type="5" refreshedVersion="8" background="1" saveData="1">
    <dbPr connection="Provider=Microsoft.Mashup.OleDb.1;Data Source=$Workbook$;Location=Tabla6;Extended Properties=&quot;&quot;" command="SELECT * FROM [Tabla6]"/>
  </connection>
  <connection id="7" xr16:uid="{31C72722-9EE5-4E5F-8AFC-90BEB05F37BF}" keepAlive="1" name="Consulta - Validacion nuevos casos" description="Conexión a la consulta 'Validacion nuevos casos' en el libro." type="5" refreshedVersion="8" background="1" saveData="1">
    <dbPr connection="Provider=Microsoft.Mashup.OleDb.1;Data Source=$Workbook$;Location=&quot;Validacion nuevos casos&quot;;Extended Properties=&quot;&quot;" command="SELECT * FROM [Validacion nuevos cas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<sst xmlns="http://schemas.openxmlformats.org/spreadsheetml/2006/main" count="6040" uniqueCount="1277">
  <si>
    <t>-Listas Cautelares
-Ajuste Intefaz creacion cliente campo GMF</t>
  </si>
  <si>
    <t>-Rentabilidad portal
-Certificacion de Aportes
-Ajuste Vulnerabilidades</t>
  </si>
  <si>
    <t>-Vinculacion Inmobiliaria</t>
  </si>
  <si>
    <t>-Ajuste Extracto Control de aportes
-Ajuste rentabilidad TIR
-Control de Aportes
-Control  retiros del FPV clientes no activos</t>
  </si>
  <si>
    <t>-Precargue de fideicomisos
-Calcular flujos al momento de realizar adiciones de capital</t>
  </si>
  <si>
    <t>-Deterioro al 100
-Ajuste Valoracion</t>
  </si>
  <si>
    <t>-Manejo de logs en petición y respuesta al consumir los servicios de inspektor</t>
  </si>
  <si>
    <t>-Campo Tipo de identificación Fideicomisos</t>
  </si>
  <si>
    <t>Clientes</t>
  </si>
  <si>
    <t>Web</t>
  </si>
  <si>
    <t>Inmobiliario</t>
  </si>
  <si>
    <t>FPV</t>
  </si>
  <si>
    <t>Fideicomisos</t>
  </si>
  <si>
    <t>Titulos</t>
  </si>
  <si>
    <t xml:space="preserve">interfaz </t>
  </si>
  <si>
    <t>parametros</t>
  </si>
  <si>
    <t>Soporte</t>
  </si>
  <si>
    <t>Desarrollo</t>
  </si>
  <si>
    <t>TI</t>
  </si>
  <si>
    <t>Columna1</t>
  </si>
  <si>
    <t>Ingesoft</t>
  </si>
  <si>
    <t>0_Cancelado</t>
  </si>
  <si>
    <t>ITC</t>
  </si>
  <si>
    <t>1.Ajuste de Requerimiento</t>
  </si>
  <si>
    <t>TOTAL</t>
  </si>
  <si>
    <t>2.Reunión de entendimiento</t>
  </si>
  <si>
    <t>3.Propuesta Comercial</t>
  </si>
  <si>
    <t>5.Entrega Desarrollo</t>
  </si>
  <si>
    <t>6.Instalación en Pruebas</t>
  </si>
  <si>
    <t>7.Elaboración Escenarios de prueba</t>
  </si>
  <si>
    <t>8.Certificación Escenarios Pruebas</t>
  </si>
  <si>
    <t>9.Autorización Paso a Producción</t>
  </si>
  <si>
    <t>FILA</t>
  </si>
  <si>
    <t>No.Remedy</t>
  </si>
  <si>
    <t>Fecha Inicial</t>
  </si>
  <si>
    <t>Fecha Final</t>
  </si>
  <si>
    <t>Días</t>
  </si>
  <si>
    <t>Modulo</t>
  </si>
  <si>
    <t>Costo</t>
  </si>
  <si>
    <t>PROPUESTA</t>
  </si>
  <si>
    <t>Fecha Entrega</t>
  </si>
  <si>
    <t>Ambiente</t>
  </si>
  <si>
    <t>Instaladores</t>
  </si>
  <si>
    <t>Tipo</t>
  </si>
  <si>
    <t>Observaciones</t>
  </si>
  <si>
    <t>Progreso</t>
  </si>
  <si>
    <t>Estado</t>
  </si>
  <si>
    <t>Nombre</t>
  </si>
  <si>
    <t>Proveedor</t>
  </si>
  <si>
    <t>Area</t>
  </si>
  <si>
    <t>SIDE/Service Point</t>
  </si>
  <si>
    <t>link Remedi</t>
  </si>
  <si>
    <t>Asignado A</t>
  </si>
  <si>
    <t>Estado_Remedy</t>
  </si>
  <si>
    <t>ATENDIDO</t>
  </si>
  <si>
    <t>10.En Producción</t>
  </si>
  <si>
    <t>INC000004745802</t>
  </si>
  <si>
    <t>Ajuste Macro Gestor Gastos Tesoreria</t>
  </si>
  <si>
    <t>N/A</t>
  </si>
  <si>
    <t>Ajuste</t>
  </si>
  <si>
    <t>Se cancela por desarrollo entregado al área de Aseguramiento y Mejora FID</t>
  </si>
  <si>
    <t>Finalizado</t>
  </si>
  <si>
    <t/>
  </si>
  <si>
    <t>Tesoreria</t>
  </si>
  <si>
    <t>xxxx</t>
  </si>
  <si>
    <t>INC000004884160</t>
  </si>
  <si>
    <t>Generación Certificado Patrimonial desde SIFI</t>
  </si>
  <si>
    <t>Pendiente programar reunion inicial con usuario</t>
  </si>
  <si>
    <t>En curso</t>
  </si>
  <si>
    <t>Sharon Dayana Solano R.</t>
  </si>
  <si>
    <t>Contabilidad</t>
  </si>
  <si>
    <t>https://centrodegestiongecc.onbmc.com/arsys/servlet/ViewFormServlet?form=HPD%3AHelp+Desk&amp;server=onbmc-s&amp;eid=INC000002937292</t>
  </si>
  <si>
    <t xml:space="preserve"> </t>
  </si>
  <si>
    <t>INC000004795039</t>
  </si>
  <si>
    <t>Consulta ORM Contabilidad</t>
  </si>
  <si>
    <t>Consulta</t>
  </si>
  <si>
    <t>Cancelado por resuelto por equipo TI</t>
  </si>
  <si>
    <t>0</t>
  </si>
  <si>
    <t>INC000004712103</t>
  </si>
  <si>
    <t>Consulta aportes fpv con retencion</t>
  </si>
  <si>
    <t>Cancelado por que se creará otro requerimiento por incluirlo en el portal web</t>
  </si>
  <si>
    <t>Comercial</t>
  </si>
  <si>
    <t>INC000004750218</t>
  </si>
  <si>
    <t>Ajuste Macro Cierre diario</t>
  </si>
  <si>
    <t>En producción</t>
  </si>
  <si>
    <t>INC000004739523</t>
  </si>
  <si>
    <t>Agregar campo PERIODO a Consulta Existente</t>
  </si>
  <si>
    <t>INC000004787482</t>
  </si>
  <si>
    <t>Formato 397 (Caso FVP, Consolidadora y Opciones)</t>
  </si>
  <si>
    <t xml:space="preserve">Reunion con el solicitante el dia 3/07/25
</t>
  </si>
  <si>
    <t>Jhon Hevert Artunduaga Noguera</t>
  </si>
  <si>
    <t>https://centrodegestiongecc.onbmc.com/arsys/servlet/ViewFormServlet?form=HPD%3AHelp+Desk&amp;server=onbmc-s&amp;eid=INC000002850843</t>
  </si>
  <si>
    <t>INC000004763912</t>
  </si>
  <si>
    <t>Automatización de informe Alianza</t>
  </si>
  <si>
    <t>Informa Jessica que se pasará a Yolima, una vez que se le informó que estaba pendiente la aclaración del requerimiento ya que al presentarse al proveedor, el indica que este campo de custodio ya existe.</t>
  </si>
  <si>
    <t>Jessica Marcela Gomez Ordoñez</t>
  </si>
  <si>
    <t>Negocios 1</t>
  </si>
  <si>
    <t>60955</t>
  </si>
  <si>
    <t>https://centrodegestiongecc.onbmc.com/arsys/servlet/ViewFormServlet?form=HPD%3AHelp+Desk&amp;server=onbmc-s&amp;eid=INC000002829894</t>
  </si>
  <si>
    <t>INC000004763107</t>
  </si>
  <si>
    <t>Ajuste consulta de comprobantes manuales</t>
  </si>
  <si>
    <t>INC000004781345</t>
  </si>
  <si>
    <t>Reactivacion query consulta ODBC</t>
  </si>
  <si>
    <t>INC000004816080</t>
  </si>
  <si>
    <t>Caso 142072 XBRL</t>
  </si>
  <si>
    <t>Se le envio correo a Camila de ITC para validar el estado</t>
  </si>
  <si>
    <t>Lorena Andrade Rivera</t>
  </si>
  <si>
    <t>https://centrodegestiongecc.onbmc.com/arsys/servlet/ViewFormServlet?form=HPD%3AHelp+Desk&amp;server=onbmc-s&amp;eid=INC000002876679</t>
  </si>
  <si>
    <t>INC000004868672</t>
  </si>
  <si>
    <t>https://centrodegestiongecc.onbmc.com/arsys/servlet/ViewFormServlet?form=HPD%3AHelp+Desk&amp;server=onbmc-s&amp;eid=INC000002923704</t>
  </si>
  <si>
    <t>INC000004657863</t>
  </si>
  <si>
    <t>Cargue de Novedades ETL monitor</t>
  </si>
  <si>
    <t>Producción</t>
  </si>
  <si>
    <t>Pendiente evidencias del proceso, para certificar en Producción</t>
  </si>
  <si>
    <t>Felipe Mafla Ospina</t>
  </si>
  <si>
    <t>Cumplimiento</t>
  </si>
  <si>
    <t>60929</t>
  </si>
  <si>
    <t>INC000004874305</t>
  </si>
  <si>
    <t>Obligaciones Moneda Nacional. y Moneda Extranjera</t>
  </si>
  <si>
    <t>Registro de acuerdo – Reunión 18-06-2025
De acuerdo con la reunión sostenida el día 18 de junio de 2025 con la usuaria Claudia González Zambrano, se establece como acuerdo que la usuaria mencionada será la encargada de programar una reunión con la Gerencia para presentar el requerimiento de manera formal.
Quedamos a la espera de dicha convocatoria para dar continuidad al proceso.</t>
  </si>
  <si>
    <t>Claudia Gonzalez Zambrano</t>
  </si>
  <si>
    <t>https://centrodegestiongecc.onbmc.com/arsys/servlet/ViewFormServlet?form=HPD%3AHelp+Desk&amp;server=onbmc-s&amp;eid=INC000002928581</t>
  </si>
  <si>
    <t>INC000004782806</t>
  </si>
  <si>
    <t>Ajuste 351 Deterioro Fonmutuales</t>
  </si>
  <si>
    <t>https://centrodegestiongecc.onbmc.com/arsys/servlet/ViewFormServlet?form=HPD%3AHelp+Desk&amp;server=onbmc-s&amp;eid=INC000002846560</t>
  </si>
  <si>
    <t>INC000004703060</t>
  </si>
  <si>
    <t>Modulo de parametrizacion de movimientos en FPV</t>
  </si>
  <si>
    <t>Pendiente Entrega desarrollo - 11/04/2025 - Definir  parametros antes - Responsabilidad Fondos y Contabilidad - SE CREA CASO HACIA EL PROVEEDOR 60946</t>
  </si>
  <si>
    <t>Pedro Castro Llanos</t>
  </si>
  <si>
    <t>Fondos</t>
  </si>
  <si>
    <t>60946</t>
  </si>
  <si>
    <t>https://centrodegestiongecc.onbmc.com/arsys/servlet/ViewFormServlet?form=HPD%3AHelp+Desk&amp;server=onbmc-s&amp;eid=INC000002775713</t>
  </si>
  <si>
    <t>INC000004794247</t>
  </si>
  <si>
    <t>Simulador Comercial</t>
  </si>
  <si>
    <t>Libranzas 3</t>
  </si>
  <si>
    <t>Dirección Comercial autoriza despliegue en producción. Se realiza pruebas y colaborador certifica, se ajustó en libranzas 3 los permiso en FPV, todo solo Lectura, y en el nuevo desarrollo Simulador de retiro se le dió escritura. Bajo la instalación no 912.</t>
  </si>
  <si>
    <t>https://centrodegestiongecc.onbmc.com/arsys/servlet/ViewFormServlet?form=HPD%3AHelp+Desk&amp;server=onbmc-s&amp;eid=INC000002856959</t>
  </si>
  <si>
    <t>INC000004749773</t>
  </si>
  <si>
    <t>Creación consulta reporte ORM Contrapartes</t>
  </si>
  <si>
    <t>INC000004799051</t>
  </si>
  <si>
    <t>Certificados de retencion</t>
  </si>
  <si>
    <t>INC000004525864</t>
  </si>
  <si>
    <t xml:space="preserve">Ronal dijo que no se puede Julio Torres dice que si se puede,  citar a los tres para comprender el requeSe solicita reu al proveedor, pendiente En proceso de Entendimiento </t>
  </si>
  <si>
    <t>60893</t>
  </si>
  <si>
    <t>INC000004695606</t>
  </si>
  <si>
    <t>control apertura producto FPV</t>
  </si>
  <si>
    <t>Vinculaciones</t>
  </si>
  <si>
    <t>60944</t>
  </si>
  <si>
    <t>INC000004768321</t>
  </si>
  <si>
    <t>Controles operativos de Fondos</t>
  </si>
  <si>
    <t>Falta claridad en el requerimiento, y el responsable ya es otro  persona, se reenviará el requerimiento al nuevo responsable para ajustarlo y volver a radicar. No manejo perfiles esto es otra área. Falta de entendimiento del proceso, revisar con Julio</t>
  </si>
  <si>
    <t>INC000004769119</t>
  </si>
  <si>
    <t>Fiduexpress SIFI y Finansoft - agregar asesor responsable</t>
  </si>
  <si>
    <t>Se va a cerrar  Remedy falta aclaración, se le pide a Maritza si va a volver a tomar este requerimientp, en caso de que si que lo mejore y aclare para realizar el procedimiento.Preguntar para saber como colocar el Asesor responsable cuándo se hace una vinculación</t>
  </si>
  <si>
    <t>INC000004719491</t>
  </si>
  <si>
    <t>Liquidacion Titulos vencidos con tasa de usuara</t>
  </si>
  <si>
    <t>Cerrar el caso luego de montar la gestión en remedy- Pendiente ajuste del colaborador en el requerimiento, proeveedor envía comentarios para ser mas claros. Este desarrollo lo asumirá Yolima</t>
  </si>
  <si>
    <t>60948</t>
  </si>
  <si>
    <t>INC000004745738</t>
  </si>
  <si>
    <t>Creación Consultas cuentas bancarias FICs y FVP</t>
  </si>
  <si>
    <t>INC000004784988</t>
  </si>
  <si>
    <t>Configuración Consulta ORM</t>
  </si>
  <si>
    <t>Negocios 2</t>
  </si>
  <si>
    <t>INC000004743244</t>
  </si>
  <si>
    <t>Inclusión PA MICROFACTORING FUNDACION WWB a reporte de riesgo</t>
  </si>
  <si>
    <t>Riesgo Financiero</t>
  </si>
  <si>
    <t>INC000004765264</t>
  </si>
  <si>
    <t>CARGUE POR BASE DE DATOS FINANSOFT</t>
  </si>
  <si>
    <t>En producción - Gestionado por Miguel</t>
  </si>
  <si>
    <t>INC000004786921</t>
  </si>
  <si>
    <t>Discriminación del Originador Kredit en la valoración del FIC 90</t>
  </si>
  <si>
    <t>Dado que se otorgan los permisos para Modulo Programación de Solicitudes por Título raíz, doy por resuelto el Remedy .
Pidieron permisos para utilizar el mismo desarrollo solicitado por negocios, ahora les falta mejorar de acuerdo a ests preguntas n la ruta Títulos, Consultas, Valoración. 
¿Se puede escoger la valoración de varios originadores a la vez, o si o si, toca traerlos uno a uno?
y también, ¿se puede escoger solo los de fecha vencida?</t>
  </si>
  <si>
    <t>Juan Camilo Osorio Perez</t>
  </si>
  <si>
    <t>Mesa Inversiones</t>
  </si>
  <si>
    <t>60959</t>
  </si>
  <si>
    <t>INC000004757900</t>
  </si>
  <si>
    <t>Automatización de dirección de correspondencia clientes SIFI</t>
  </si>
  <si>
    <t>se cancela por que Miguel lo va a terminar de hacer.El remedy se asigna a Miguel</t>
  </si>
  <si>
    <t>Viviana Erazo Vasquez</t>
  </si>
  <si>
    <t>INC000004724324</t>
  </si>
  <si>
    <t>Conexión SIDE SFTP Factoring</t>
  </si>
  <si>
    <t>Pendiente presentación al comité de compras hasta el 4 de abril tiene plazo de enviar los docs al comité y el martes debe presentarse</t>
  </si>
  <si>
    <t>Leny Carmenza Ortega Ordoñez</t>
  </si>
  <si>
    <t>Activos Alternativos</t>
  </si>
  <si>
    <t>60879</t>
  </si>
  <si>
    <t>INC000004694879</t>
  </si>
  <si>
    <t>Alarma día de recaudo</t>
  </si>
  <si>
    <t>Mesa de Inversion</t>
  </si>
  <si>
    <t xml:space="preserve">Se cierra las propuestas por que son del año pasado y contiene valores vencidos, y en vista de que el colaborador no respondio, ni se presentó a los comité de compras. </t>
  </si>
  <si>
    <t>60942</t>
  </si>
  <si>
    <t>INC000004760821</t>
  </si>
  <si>
    <t>Ajuste en FiduExpress - Recomendación Profesional</t>
  </si>
  <si>
    <t>60956</t>
  </si>
  <si>
    <t>INC000004841295</t>
  </si>
  <si>
    <t>Cargue, valoración y recaudos títulos relacionados a los negocios de titularización</t>
  </si>
  <si>
    <t>Pendiente autorizacion comited de compras</t>
  </si>
  <si>
    <t>Rodolfo</t>
  </si>
  <si>
    <t>https://centrodegestiongecc.onbmc.com/arsys/servlet/ViewFormServlet?form=HPD%3AHelp+Desk&amp;server=onbmc-s&amp;eid=INC000002899108</t>
  </si>
  <si>
    <t>INC000004756722</t>
  </si>
  <si>
    <t>mejora para la rececpcion de los correos de Embargo</t>
  </si>
  <si>
    <t>Se cierra remedy y se envía correo avisando de que este Desarrollo debe analizarse si se colocará en la lista de Tesorería</t>
  </si>
  <si>
    <t>INC000004756169</t>
  </si>
  <si>
    <t>Validación control de operaciones fics y fvp</t>
  </si>
  <si>
    <t>Pendiente entrega Desarrollo</t>
  </si>
  <si>
    <t>Edier Armando Carabali Manzano</t>
  </si>
  <si>
    <t>INC000004735726</t>
  </si>
  <si>
    <t>Consulta Fuente de pago y garantía</t>
  </si>
  <si>
    <t>ORM</t>
  </si>
  <si>
    <t>En producción Ya la consulta se encuentra en ORM, Se le informa a Marcela. Una vez indique que ya tiene usuario en ORM se le asigna los permisos de la consulta</t>
  </si>
  <si>
    <t>Marcela Garces Arteaga</t>
  </si>
  <si>
    <t>Juridico</t>
  </si>
  <si>
    <t>INC000004719450</t>
  </si>
  <si>
    <t>Consulta saldos bancarios</t>
  </si>
  <si>
    <t>Pendiente Desarrollo, debería pasarse al área de Mejoramiento.</t>
  </si>
  <si>
    <t>https://centrodegestiongecc.onbmc.com/arsys/servlet/ViewFormServlet?form=HPD%3AHelp+Desk&amp;server=onbmc-s&amp;eid=INC000002790467</t>
  </si>
  <si>
    <t>INC000004698014</t>
  </si>
  <si>
    <t>Automatizacion proceso interfaz Interactividad</t>
  </si>
  <si>
    <t>FVP</t>
  </si>
  <si>
    <t>Pendiente Entrega desarrollo - 2/05/2025 . Esta asignado a Juan Carlos</t>
  </si>
  <si>
    <t>https://centrodegestiongecc.onbmc.com/arsys/forms/onbmc-s/SHR%3ALandingConsole/Default+Administrator+View/?cacheid=115090af</t>
  </si>
  <si>
    <t>INC000004442399</t>
  </si>
  <si>
    <t>Prototipo control de tasa variable Ban 100</t>
  </si>
  <si>
    <t>Pendiente Entrega desarrollo-Asignado a Anderson proceso con Julio Torres, en seguimiento</t>
  </si>
  <si>
    <t>Evelyn Maryuri Correa Valencia</t>
  </si>
  <si>
    <t>https://centrodegestiongecc.onbmc.com/arsys/servlet/ViewFormServlet?form=HPD%3AHelp+Desk&amp;server=onbmc-s&amp;eid=INC000002545411</t>
  </si>
  <si>
    <t>INC000004703037</t>
  </si>
  <si>
    <t>Ajuste reproceso de operaciones en el portal transacional</t>
  </si>
  <si>
    <t>Portal Transaccional</t>
  </si>
  <si>
    <t>Todavía falta entregarlo - Pendiente Entrega desarrollo - 11/04/2025 - Correo recordatorio programado y enviado</t>
  </si>
  <si>
    <t>https://centrodegestiongecc.onbmc.com/arsys/servlet/ViewFormServlet?form=HPD%3AHelp+Desk&amp;server=onbmc-s&amp;eid=INC000002775690</t>
  </si>
  <si>
    <t>INC000004800291</t>
  </si>
  <si>
    <t>Enumeración certificados de garantía SIFI</t>
  </si>
  <si>
    <t>Se confirma que la fecha estimada de entrega del catálogo y estimación ha sido establecida para el 01 de julio. Quedamos atentos a sus comentarios o cualquier observación adicional que puedan tener.</t>
  </si>
  <si>
    <t>Sandra Milena Cifuentes Calceto</t>
  </si>
  <si>
    <t>143621</t>
  </si>
  <si>
    <t>https://centrodegestiongecc.onbmc.com/arsys/servlet/ViewFormServlet?form=HPD%3AHelp+Desk&amp;server=onbmc-s&amp;eid=INC000002862493</t>
  </si>
  <si>
    <t>INC000004826173</t>
  </si>
  <si>
    <t>Indicador calidad de datos clientes activos</t>
  </si>
  <si>
    <t xml:space="preserve">Liderado por Jesion, pendiente con el 
</t>
  </si>
  <si>
    <t>Janneth Mafla Prieto</t>
  </si>
  <si>
    <t>https://centrodegestiongecc.onbmc.com/arsys/servlet/ViewFormServlet?form=HPD%3AHelp+Desk&amp;server=onbmc-s&amp;eid=INC000002885574</t>
  </si>
  <si>
    <t>INC000004098711</t>
  </si>
  <si>
    <t>Títulos de Contenido Económico</t>
  </si>
  <si>
    <t>Se confirma instalación en producción. Falta la validación por parte del equipo de riesgo financiero.</t>
  </si>
  <si>
    <t>Esteban Dario Garcia Gonzalez</t>
  </si>
  <si>
    <t>https://centrodegestiongecc.onbmc.com/arsys/servlet/ViewFormServlet?form=HPD%3AHelp+Desk&amp;server=onbmc-s&amp;eid=INC000002244001</t>
  </si>
  <si>
    <t>INC000004751201</t>
  </si>
  <si>
    <t>Ajuste en Modulo Clientes FD-FT-260</t>
  </si>
  <si>
    <t>Se certifica las pruebas - Pendiente paso a producción - Presenta errores el Script, en espera de ajuste-Se ajusta por 3 horas desarrollo-se crea side, pendiente validación proveeedor</t>
  </si>
  <si>
    <t>60953</t>
  </si>
  <si>
    <t>INC000004776678</t>
  </si>
  <si>
    <t>Servicios Web Portal transaccional</t>
  </si>
  <si>
    <t>Libranzas 2</t>
  </si>
  <si>
    <t>Se crea sesión con Julio. El 873 ya se encuentra en producción y el 907 esta Pendiente instalación 907, eso lo trabajo con Julio para certificar. 2o. Paso de pruebas oes con Maritza.</t>
  </si>
  <si>
    <t>https://centrodegestiongecc.onbmc.com/arsys/servlet/ViewFormServlet?form=HPD%3AHelp+Desk&amp;server=onbmc-s&amp;eid=INC000002841259</t>
  </si>
  <si>
    <t>INC000004678864</t>
  </si>
  <si>
    <t>Listado de mejoras portal transaccional</t>
  </si>
  <si>
    <t>Portal Transaccional
'-Rentabilidad portal
-Certificacion de Aportes
-Ajuste Vulnerabilidades</t>
  </si>
  <si>
    <t>Pendiente entrega de versionamiento para realizar pruebas en Libranzas 2</t>
  </si>
  <si>
    <t>https://centrodegestiongecc.onbmc.com/arsys/servlet/ViewFormServlet?form=HPD%3AHelp+Desk&amp;server=onbmc-s&amp;eid=INC000002754066</t>
  </si>
  <si>
    <t>INC000004274763</t>
  </si>
  <si>
    <t>Ajuste Deterioro al 100-Cerrado por el sistema</t>
  </si>
  <si>
    <t>Enviado la base de valoracion, pendiente a que se levanten y se realicen las pruebas</t>
  </si>
  <si>
    <t>Eduardo Mora Bolaños</t>
  </si>
  <si>
    <t>INC000004778004</t>
  </si>
  <si>
    <t>Configuración archivo a importar tipo Asobancaria</t>
  </si>
  <si>
    <t>Pendiente definir si es necesario crear SIDE, es una consulta hacie el proveedor y se envía correo. En estos momentos los casos de entendimientos se postergan hasta no tener instalado los desarrollos en bases</t>
  </si>
  <si>
    <t>INC000004783347</t>
  </si>
  <si>
    <t>Aperturas de FIC oficina virtual</t>
  </si>
  <si>
    <t>Se cancela debido a que es un caso que tiene que ver con ajustes desde portal trasaccional al Aplicativo SIFI, y la asigno a Juan Carlos para definir su gestión. - Según reunión de entendimiento en el momento de que nace una vinculación, esta seleccionando solo banco, pero en los dos datos debe ir la opción ambos, tanto para banco como para Fiduciaria. Debido al caso lo devolveré a Juan Carlos.</t>
  </si>
  <si>
    <t>INC000004788461</t>
  </si>
  <si>
    <t>Ajustar campo Identificacion Fideicomiso</t>
  </si>
  <si>
    <t>Proveedor envía Número de instalación 915, y se envia a Miguel para instalar. Validando scripts con el proveedor. Se valida copn el proveedor, el proveedor esta validadndo con desarrollador, enviara script para validar. Se crea SIDE 60965 y se envía correo, se define espacio para comprehender mejor la solicitud. Al momento de diligenciar los número de fideicomiso genera error porque solo admite 5 digitos, y este año ya los nit van en 6 digitos, lo que esta pidiendo Viviana es que ampliens esto hasta 10 para evitar estos errores</t>
  </si>
  <si>
    <t>INC000004788984</t>
  </si>
  <si>
    <t>Macro Multicash Coomeva FIC 90</t>
  </si>
  <si>
    <t>Se cancela, informa Yolanda de que ya no será necesario</t>
  </si>
  <si>
    <t>Yolanda Patricia Garcia Gonzalez</t>
  </si>
  <si>
    <t>INC000004791623</t>
  </si>
  <si>
    <t>Ampliar lista de Combo box Registro de Preautorizados de FVP</t>
  </si>
  <si>
    <t>Se le devuelve al nuevo responsable Maritza, para volver a Radicar ya que este remedy no fue muy claro Ampliar lista de tipos de identificación, en el combo box del portal transaccional Registro de Preautorizados. Solo se encuentran  CC y CE</t>
  </si>
  <si>
    <t>INC000004691353</t>
  </si>
  <si>
    <t>Ajuste campo Rentabilidad Extractos FVP y Portal Transaccional</t>
  </si>
  <si>
    <t>Pendiente realizar pruebas por parte de Maritza</t>
  </si>
  <si>
    <t>Maritza Forero</t>
  </si>
  <si>
    <t>https://centrodegestiongecc.onbmc.com/arsys/servlet/ViewFormServlet?form=HPD%3AHelp+Desk&amp;server=onbmc-s&amp;eid=INC000002765161</t>
  </si>
  <si>
    <t>Jonattan Manuel Olivares Murcia</t>
  </si>
  <si>
    <t>INC000004801862</t>
  </si>
  <si>
    <t>Validación diferencia datos ORM Finansoft Cliente</t>
  </si>
  <si>
    <t>Se cancela el remedy y se asigna a Ana Maria, este tiene que ver con la funcionalidad al aplicativo de finansoft, mostrando un valor de saldo diferente a la consulta ORM "Consulta saldo FPV".  la consulta se revisa y funciona acorde. Se le consulta al proveedor, en espera de respuesta.</t>
  </si>
  <si>
    <t>Adriana Lucia Chaverra Ordoñez</t>
  </si>
  <si>
    <t>INC000004804646</t>
  </si>
  <si>
    <t>Reporte beneficiarios productos activos</t>
  </si>
  <si>
    <t>Se cancela debido a que el formato de requerimiento no esta conforme a lo que el usuario necesita. e entendimiento con los proveedores. Se crea SIDE 60964 solicitando que se pueda transformar los datos conforme se deban subir a Monitor, adiconal se debe hacer una conexión con monitor para cargarlos allí</t>
  </si>
  <si>
    <t>Sarany Vallecilla</t>
  </si>
  <si>
    <t>60964</t>
  </si>
  <si>
    <t>INC000004775199</t>
  </si>
  <si>
    <t>Vinculación Inmobiliaria</t>
  </si>
  <si>
    <t xml:space="preserve">Pendiente de la instalación para la semana del 21 de abril Jonattan - instalan el paquete que no tienen dependencia, y podemos empezar a hacer la certificación. Se libera en libranzas 2.
</t>
  </si>
  <si>
    <t>Negocios  2</t>
  </si>
  <si>
    <t>INC000004809316</t>
  </si>
  <si>
    <t>Ajuste del Reporte de productos UIAF</t>
  </si>
  <si>
    <t>Cerrar caso, ya se hizo el ajuste en reporte Uiaf. Se crea sesión de entendimiento.</t>
  </si>
  <si>
    <t>INC000004818836</t>
  </si>
  <si>
    <t>Ajustes del reporte de productos UIAF para producto fondo de pensión voluntaria</t>
  </si>
  <si>
    <t>Se certifica con correo.Se crea sesión de entendimiento miércoles, 30 de abril de 2025 11:30 a. m.-12:00 p. m.</t>
  </si>
  <si>
    <t>INC000004818840</t>
  </si>
  <si>
    <t>Reporte ORM - productos UIAF conciliación saldos contable FICS Y FPV</t>
  </si>
  <si>
    <t>Este lo esta trabajando Julio con Miguel. Certifico con correo que ennvio Miguel y cerrar casoz. Se crea sesión de entendimiento.</t>
  </si>
  <si>
    <t>INC000004819407</t>
  </si>
  <si>
    <t>Consulta Clientes pendiente por confirmar - ORM</t>
  </si>
  <si>
    <t>Se crea la consulta, en validación por el colaborador en la aplicación ORM, carpeta Consulta Fondos, con nombre Consulta Clientes pendiente por confirmar.</t>
  </si>
  <si>
    <t>INC000004820476</t>
  </si>
  <si>
    <t>Columna Lugar de Correspondencia Consulta en ORM</t>
  </si>
  <si>
    <t>Se agrega la columna Lugar de correspondencia en la consulta Clientes Finansoft</t>
  </si>
  <si>
    <t>INC000004820659</t>
  </si>
  <si>
    <t>Alerta pendiente por confirmar</t>
  </si>
  <si>
    <t>Se instalo en libranzas 3, se solicito elaboracion de escenarios y certificacion a la usuaria</t>
  </si>
  <si>
    <t>https://centrodegestiongecc.onbmc.com/arsys/servlet/ViewFormServlet?form=HPD%3AHelp+Desk&amp;server=onbmc-s&amp;eid=INC000002880632</t>
  </si>
  <si>
    <t>INC000004520448</t>
  </si>
  <si>
    <t>Trasmitir encargos del mismo dia 351</t>
  </si>
  <si>
    <t>Pendiente entregar a J londoño info  campos por parte de Miguel</t>
  </si>
  <si>
    <t>https://centrodegestiongecc.onbmc.com/arsys/servlet/ViewFormServlet?form=HPD%3AHelp+Desk&amp;server=onbmc-s&amp;eid=INC000002614650</t>
  </si>
  <si>
    <t>Miguel</t>
  </si>
  <si>
    <t>INC000004486849</t>
  </si>
  <si>
    <t>Listas de Ajustes Cautelares</t>
  </si>
  <si>
    <t>947-847-848-849-862-866-878</t>
  </si>
  <si>
    <t>26/06/2025 se entrego el instalador, se procede a reunir a los interesados para defirnir plan de trabajo</t>
  </si>
  <si>
    <t>https://centrodegestiongecc.onbmc.com/arsys/servlet/ViewFormServlet?form=HPD%3AHelp+Desk&amp;server=onbmc-s&amp;eid=INC000002584540</t>
  </si>
  <si>
    <t>INC000004694899</t>
  </si>
  <si>
    <t>Cerficar aportes desde el portal transacional</t>
  </si>
  <si>
    <t>Se evidencian correos de que ya esta en produccion</t>
  </si>
  <si>
    <t>60943</t>
  </si>
  <si>
    <t>INC000004480057</t>
  </si>
  <si>
    <t>Validaciones en el precargue del módulo Fideicomisos</t>
  </si>
  <si>
    <t>Negocios Fiduciarios
'-Precargue de fideicomisos
-Calcular flujos al momento de realizar adiciones de capital</t>
  </si>
  <si>
    <t>Se le envio a Diego y Alexandra la notificacion de que los emisores estan creados, y que pueden continuar con las pruebas</t>
  </si>
  <si>
    <t>Diego Meneses</t>
  </si>
  <si>
    <t>https://centrodegestiongecc.onbmc.com/arsys/servlet/ViewFormServlet?form=HPD%3AHelp+Desk&amp;server=onbmc-s&amp;eid=INC000002578559</t>
  </si>
  <si>
    <t>INC000004821632</t>
  </si>
  <si>
    <t xml:space="preserve">Script consulta de clientes </t>
  </si>
  <si>
    <t>Según el entendimiendo del usuario es automatizar la consulta que no se tenga que ir al ORM sino que se exporte automaticamente con un scrip</t>
  </si>
  <si>
    <t>Sebastian Castro Valderrama</t>
  </si>
  <si>
    <t>SARLAFT</t>
  </si>
  <si>
    <t>https://centrodegestiongecc.onbmc.com/arsys/servlet/ViewFormServlet?form=HPD%3AHelp+Desk&amp;server=onbmc-s&amp;eid=INC000002881326</t>
  </si>
  <si>
    <t>Luis Enrique</t>
  </si>
  <si>
    <t>INC000004822702</t>
  </si>
  <si>
    <t xml:space="preserve"> Viviana Erazo Vásquez</t>
  </si>
  <si>
    <t>https://centrodegestiongecc.onbmc.com/arsys/servlet/ViewFormServlet?form=HPD%3AHelp+Desk&amp;server=onbmc-s&amp;eid=INC000002882350</t>
  </si>
  <si>
    <t>INC000004834645</t>
  </si>
  <si>
    <t>Miguel-Julio Puerto</t>
  </si>
  <si>
    <t>https://centrodegestiongecc.onbmc.com/arsys/servlet/ViewFormServlet?form=HPD%3AHelp+Desk&amp;server=onbmc-s&amp;eid=INC000002893105</t>
  </si>
  <si>
    <t>INC000004838433</t>
  </si>
  <si>
    <t>Volumetria SIDE</t>
  </si>
  <si>
    <t xml:space="preserve">Reunion 13 junio </t>
  </si>
  <si>
    <t>Christian Patiño</t>
  </si>
  <si>
    <t>Procesos</t>
  </si>
  <si>
    <t>https://centrodegestiongecc.onbmc.com/arsys/servlet/ViewFormServlet?form=HPD%3AHelp+Desk&amp;server=onbmc-s&amp;eid=INC000002896570</t>
  </si>
  <si>
    <t>INC000004296167</t>
  </si>
  <si>
    <t>Ajuste valoración del Swap</t>
  </si>
  <si>
    <t>Ese tema esta pendiente por parte de la mesa de hacer unas últimas pruebas de certificación
Si  la mesa se pone al frente de eso, posiblemente a final de mes ya lo tenemos instalado en producción.- Este es de Jonathan</t>
  </si>
  <si>
    <t>INC000004857474</t>
  </si>
  <si>
    <t>Permisos Consulta ORM</t>
  </si>
  <si>
    <t>Según la reunion con Sandra Bonilla no se requiere desarrollo solo se requiere  acceso al aplicativo se valido que este usuario ya tiene instalado ORM y tiene usuario</t>
  </si>
  <si>
    <t xml:space="preserve">Cuellar Rebolledo Cristian </t>
  </si>
  <si>
    <t>https://centrodegestiongecc.onbmc.com/arsys/servlet/ViewFormServlet?form=HPD%3AHelp+Desk&amp;server=onbmc-s&amp;eid=INC000002913733</t>
  </si>
  <si>
    <t>INC000004867777</t>
  </si>
  <si>
    <t>Solicitud FD-FT-284</t>
  </si>
  <si>
    <t>https://centrodegestiongecc.onbmc.com/arsys/servlet/ViewFormServlet?form=HPD%3AHelp+Desk&amp;server=onbmc-s&amp;eid=INC000002922853</t>
  </si>
  <si>
    <t>INC000004868325</t>
  </si>
  <si>
    <t>Se requiere validar porque la consulta de FIC no trae el valor del saldo de los clientes , se adjunta la base descargada el día de hoy , se requiere validar dado que se debe de cargar la participación de los asociados clientes activos  y en esta consulta todos salen inactivos</t>
  </si>
  <si>
    <t>Viviana Erazo Vásquez</t>
  </si>
  <si>
    <t>https://centrodegestiongecc.onbmc.com/arsys/servlet/ViewFormServlet?form=HPD%3AHelp+Desk&amp;server=onbmc-s&amp;eid=INC000002923370</t>
  </si>
  <si>
    <t>INC000004820935</t>
  </si>
  <si>
    <t>ETL y Homologación Beneficiarios productos activos</t>
  </si>
  <si>
    <t>https://centrodegestiongecc.onbmc.com/arsys/servlet/ViewFormServlet?form=HPD%3AHelp+Desk&amp;server=onbmc-s&amp;eid=INC000002880873</t>
  </si>
  <si>
    <t>INC000004868798</t>
  </si>
  <si>
    <t>Ajuste a Consulta ORM Consulta clientes finansoft</t>
  </si>
  <si>
    <t>El usuario necesita un campo adicional, pendiente reunion con ella para ampliar la informacion</t>
  </si>
  <si>
    <t>VINCULACIÓN</t>
  </si>
  <si>
    <t>https://centrodegestiongecc.onbmc.com/arsys/servlet/ViewFormServlet?form=HPD%3AHelp+Desk&amp;server=onbmc-s&amp;eid=INC000002923789</t>
  </si>
  <si>
    <t>INC000004874254</t>
  </si>
  <si>
    <t>https://centrodegestiongecc.onbmc.com/arsys/servlet/ViewFormServlet?form=HPD%3AHelp+Desk&amp;server=onbmc-s&amp;eid=INC000002928673</t>
  </si>
  <si>
    <t>INC000004824322</t>
  </si>
  <si>
    <t>Modificación en el modelo de Fiduexpress</t>
  </si>
  <si>
    <t>Pendiente respuesta de proveedor de inconsistencias</t>
  </si>
  <si>
    <t>Claudia Jimena Cifuentes Perdomo</t>
  </si>
  <si>
    <t>https://centrodegestiongecc.onbmc.com/arsys/servlet/ViewFormServlet?form=HPD%3AHelp+Desk&amp;server=onbmc-s&amp;eid=INC000002883795</t>
  </si>
  <si>
    <t>INC000004827791</t>
  </si>
  <si>
    <t>Ajustes del reporte de productos UIAF para productoFPV</t>
  </si>
  <si>
    <t>Según indicaciones del usuario el caso fue resuelto</t>
  </si>
  <si>
    <t>https://centrodegestiongecc.onbmc.com/arsys/servlet/ViewFormServlet?form=HPD%3AHelp+Desk&amp;server=onbmc-s&amp;eid=INC000002886996</t>
  </si>
  <si>
    <t>INC000004887722</t>
  </si>
  <si>
    <t>Normativo Informe 17 FVP</t>
  </si>
  <si>
    <t>Nicole Dayana Posso</t>
  </si>
  <si>
    <t>https://centrodegestiongecc.onbmc.com/arsys/servlet/ViewFormServlet?form=HPD%3AHelp+Desk&amp;server=onbmc-s&amp;eid=INC000002940488</t>
  </si>
  <si>
    <t>INC000004888509</t>
  </si>
  <si>
    <t>Ajuste Deterioro al 100</t>
  </si>
  <si>
    <t>https://centrodegestiongecc.onbmc.com/arsys/servlet/ViewFormServlet?form=HPD%3AHelp+Desk&amp;server=onbmc-s&amp;eid=INC000002941132</t>
  </si>
  <si>
    <t>Desarrollo #</t>
  </si>
  <si>
    <t>Tema</t>
  </si>
  <si>
    <t>Ejerce dependencia al desarrollo</t>
  </si>
  <si>
    <t>Responsables</t>
  </si>
  <si>
    <t>Observación</t>
  </si>
  <si>
    <t>Perseverados 3</t>
  </si>
  <si>
    <t>Ajuste a vinculaciones fiduexpress</t>
  </si>
  <si>
    <t>Aprobado</t>
  </si>
  <si>
    <t>Desarrollo de mayor impacto en los ingresos</t>
  </si>
  <si>
    <t>Otros</t>
  </si>
  <si>
    <t>Entregado</t>
  </si>
  <si>
    <t>Mejoras del portal transaccional (4 mejoras, ya se entrego 1 , la creación del preautorizado)</t>
  </si>
  <si>
    <t>En desarrollo</t>
  </si>
  <si>
    <t>Ajuste rentabilidades del portal transaccional</t>
  </si>
  <si>
    <t>Fiduexpress 3</t>
  </si>
  <si>
    <t>Log auditoria fiduexpress</t>
  </si>
  <si>
    <t>entregado</t>
  </si>
  <si>
    <t>Ajuste al deterioro al 100%</t>
  </si>
  <si>
    <t>Detenido en pruebas, próxima reunión el miércoles</t>
  </si>
  <si>
    <t>Ajuste a las rentabilidades de los extractos</t>
  </si>
  <si>
    <t>Certificados y extractos</t>
  </si>
  <si>
    <t>En certificación</t>
  </si>
  <si>
    <t>Operaciones Masivas</t>
  </si>
  <si>
    <t>Pendiente por aprobar</t>
  </si>
  <si>
    <t>ajuste excepciones Listas de cautela 1</t>
  </si>
  <si>
    <t>ajuste excepciones Listas de cautela 2</t>
  </si>
  <si>
    <t xml:space="preserve">Pendiente en certificacion </t>
  </si>
  <si>
    <t>Ajuste cliente formato 084 - Core</t>
  </si>
  <si>
    <t>Validación al precargue de libranzas</t>
  </si>
  <si>
    <t>Davinci</t>
  </si>
  <si>
    <t>Ajuste de la ubicación de carpetas de SIDE</t>
  </si>
  <si>
    <t>ACTIVIDAD</t>
  </si>
  <si>
    <t>RESPONSABLE</t>
  </si>
  <si>
    <t>INICIO </t>
  </si>
  <si>
    <t>FINALIZACION </t>
  </si>
  <si>
    <t>OBSERVACION</t>
  </si>
  <si>
    <t>MEJORAS RENDICIÓN ACTUAL</t>
  </si>
  <si>
    <t>YOLIMA HURTADO </t>
  </si>
  <si>
    <t>FEBRERO 3/2025</t>
  </si>
  <si>
    <t>MARZO 31/2025</t>
  </si>
  <si>
    <t>SOBRE LA RENDICIÓN QUE ACTUALMENTE SE TIENE PARA LOS NEGOCIOS DE LIBRANZA</t>
  </si>
  <si>
    <t>REVISION DE ENVIO AUTOMATICO DE RENDICIONES MODELO DE GESTION Y FIRMA ADOBE SIGN</t>
  </si>
  <si>
    <t>LUIS ALFREDO POLANIA</t>
  </si>
  <si>
    <t>SOBRE LA RENDICIÓN QUE ACTUALMENTE SE TIENE PARA LOS NEGOCIOS DE INMOBILIARIO</t>
  </si>
  <si>
    <t>RENDICION ESPECIALIZADA</t>
  </si>
  <si>
    <t>ABRIL 7/2025</t>
  </si>
  <si>
    <t>MAYO 30/2025</t>
  </si>
  <si>
    <t>RENDICION FUENTES DE PAGO Y GARANTIA </t>
  </si>
  <si>
    <t>STEPHANIE LAHARENAS</t>
  </si>
  <si>
    <t>JUNIO 2/2025</t>
  </si>
  <si>
    <t>AGOSTO 30/2025</t>
  </si>
  <si>
    <t>RENDICION NEGOCIOS DE CARTERAS </t>
  </si>
  <si>
    <t>NATHALIA REYES</t>
  </si>
  <si>
    <t>SEPTIEMBRE 1/2025</t>
  </si>
  <si>
    <t>OCTUBRE 30 /2025</t>
  </si>
  <si>
    <t>RENDICION NEGOCIOS DE COOMEVA</t>
  </si>
  <si>
    <t>STEPHANIE LAHARENAS/ NATHALIA</t>
  </si>
  <si>
    <t>MARZO 1/2025</t>
  </si>
  <si>
    <t>RENDICION DE NEGOCIOS CON COMPARTIMENTOS Y CONSOLIDADORAS</t>
  </si>
  <si>
    <t>ID de la incidencia*+</t>
  </si>
  <si>
    <t>Apellidos+</t>
  </si>
  <si>
    <t>Nombre+</t>
  </si>
  <si>
    <t>Resumen*</t>
  </si>
  <si>
    <t>Notas</t>
  </si>
  <si>
    <t>Prioridad*</t>
  </si>
  <si>
    <t>Estado*</t>
  </si>
  <si>
    <t>Estado SLM en tiempo real</t>
  </si>
  <si>
    <t>Grupo asignado*+</t>
  </si>
  <si>
    <t>Usuario asignado+</t>
  </si>
  <si>
    <t>Fecha de envío</t>
  </si>
  <si>
    <t>Fecha de última modificación</t>
  </si>
  <si>
    <t>Resolución</t>
  </si>
  <si>
    <t>Nivel 3 de categorización operacional</t>
  </si>
  <si>
    <t>Nivel 3 de categorización de resolución</t>
  </si>
  <si>
    <t>Nombre del producto+</t>
  </si>
  <si>
    <t>Nombre del producto (R)+</t>
  </si>
  <si>
    <t>Modelo/versión</t>
  </si>
  <si>
    <t>Modelo/Versión (R)</t>
  </si>
  <si>
    <t>link</t>
  </si>
  <si>
    <t>Correa Valencia</t>
  </si>
  <si>
    <t>Evelyn Maryuri</t>
  </si>
  <si>
    <t>Solicitud nuevos desarrollos y orden de servicios</t>
  </si>
  <si>
    <t>Tipo de solicitud Nuevo desarrollo o mejoras
Aplicación : Finansoft
Nombre de contacto: Evelyn Correa Valencia
teléfono de contacto: 3017349525
describa su solicitud: Buenos días, 
De acuerdo a lo indicado por el gerente de operaciones y a las validaciones internas, confirmamos y solicitamos lo siguiente, cabe aclarar que se pueden generar mas solicitudes: 
En la consulta agrupada el campo Vencuota se evidencia la cantidad de cuotas activas. 
Se requiere un campo adicional de observaciones donde se le pueda incluir la información como por ejemplo días de corte, esto con el fin de poder relacionar o estructurar la información particular en el repositorio del aplicativo a manejar ( Finansoft) y no manejar archivos con información adicional. 
Para realizar los recálculos de la tasa (en el caso de Ban100 II DTF con o sin puntos adicionales) se requiere información del saldo a capital de cada título al corte de consulta puesto que los ajustes de cuota se deben de realizar sobre esta base.
Se requiere que la misma macro genere los archivos de cargue o descargue de cuotas de manera automática, tener presente que para el cargue de cuota no se puede repetir la identificación del titulo por, lo que se debe adicionar una carácter alfabético.</t>
  </si>
  <si>
    <t>Baja</t>
  </si>
  <si>
    <t>Objetivos de servicio incumplidos</t>
  </si>
  <si>
    <t>Soporte TI Fiducoomeva</t>
  </si>
  <si>
    <t>Luis Enrique Rojas Villota</t>
  </si>
  <si>
    <t>Pendiente de entrega, lo esta trabajando Aseguramiento y mejora FID</t>
  </si>
  <si>
    <t>Ajustes y nuevos desarrollos</t>
  </si>
  <si>
    <t>Finansoft - Sistema para el manejo de libranzas y fondo de garantias</t>
  </si>
  <si>
    <t>Castillo Montoya</t>
  </si>
  <si>
    <t>Jhon Edwin</t>
  </si>
  <si>
    <t>Tipo de solicitud Nuevo desarrollo o mejoras
Aplicación : Finansoft
Nombre de contacto: Jhon Edwin Castillo Montoya
teléfono de contacto: 3022061033
describa su solicitud: Al momento de realizar operaciones de libranzas, se ha detectado errores operativos que solo se pueden evidenciar al momento de realizar el cargue definitivo en fideicomisos y/o títulos cuando se utiliza la funcionalidad de precargue por el módulo de Fideicomisos. Esto genera retrasos de los horarios establecidos para el cumplimiento de las operaciones, afectando de manera negativa la relación con los clientes y ocasiona retrasos en el proceso de cierre del día por parte del área de Operaciones.</t>
  </si>
  <si>
    <t>Pendiente las instalaciones en el ambiente de pruebas para volver a iniciar.</t>
  </si>
  <si>
    <t>Sistema</t>
  </si>
  <si>
    <t>Mafla Ospina</t>
  </si>
  <si>
    <t>Felipe</t>
  </si>
  <si>
    <t>Tipo de solicitud Nuevo desarrollo o mejoras
Aplicación : Finansoft
Nombre de contacto: Felipe Mafla Ospina
teléfono de contacto: 3168715299
describa su solicitud: Se requiere de su colaboración gestionando nuevo desarrollo (mejora) para los Core de negocio Finansoft y SIFI en lo que corresponde a la opción de listas de excepciones en ambas. se adjunta formato de requerimiento.</t>
  </si>
  <si>
    <t>Se crea sesión para certificación de Escenarios de pruebas
SE CREA CASO 60890</t>
  </si>
  <si>
    <t>Collazos Correa</t>
  </si>
  <si>
    <t>Mayra Alejandra</t>
  </si>
  <si>
    <t>Tipo de solicitud Nuevo desarrollo o mejoras
Aplicación : Finansoft
Nombre de contacto: Mayra Alejandra Collazos Correa
teléfono de contacto: 3162253215
describa su solicitud: Cordial saludo,
Solicitamos de su amable colaboración, puesto que se observa que en las carteras internas el primer día de su constitución, no genera rendimientos y esto es correcto, pero al momento de la generación del formato 351, no se reportar ese primer día, se requiere que este primer día sea reportado en el plano.
Nota: cabe mencionar que, para las carteras externas, el formato 351 si las reporta a partir del primer día.</t>
  </si>
  <si>
    <t>Ingesoft se encuentra realizando la integración del script proporcionado para iniciar pruebas y entregarlo.</t>
  </si>
  <si>
    <t>Castro Llanos</t>
  </si>
  <si>
    <t>Pedro</t>
  </si>
  <si>
    <t>Cordial Saludo 
Se solicita unifican casos bajo un solo requerimiento hacia el proveedor se adjunta formato con los requerimientos detallados 
INC000004662949
INC000004663133
INC000004665337</t>
  </si>
  <si>
    <t>Media</t>
  </si>
  <si>
    <t>Se agenda sesión para certificación de pruebas.
Pendiente instalaciones en el ambiente de pruebas se crea el caso 60927 hacia el proveedor</t>
  </si>
  <si>
    <t>Oficina virtual</t>
  </si>
  <si>
    <t>Cordial saludo 
Se crea caso como desarrollo del  remedy INC000004647666 se esca el caso al proveedor</t>
  </si>
  <si>
    <t>Pendiente ajuste e instalación en ambiente de pruebas - se crea caso 60930 hacia el proveedor</t>
  </si>
  <si>
    <t>Tipo de solicitud Nuevo desarrollo o mejoras
Aplicación : Finansoft
Nombre de contacto: PEDRO CASTRO LLANOS
teléfono de contacto: 3135374534
describa su solicitud: Buenos días, por favor su ayuda con las siguientes solicitudes:
• Por favor su colaboración para que las operaciones de retiro en el portal transaccional, que generen la siguiente novedad “ER_VR_RETI_SL ER_VR_RETI_SL El monto de retiro supera el saldo del encargo” no deben ser contempladas en la funcionalidad “Procesos/Solicitudes Retiro Pendientes”, debido a que por falta de saldo no podrán ser reenviadas de forma manual.
• En la opción “Procesos/Acreditación Rechazadas” Sean reprocesadas de manera automática cada 15 minutos, siempre y cuando la novedad no sea por concepto de Sarlaft, como: 
“Error Existen id(s) de cliente(s) reportados en listas (Id 52817137 ListaColombia - Personas Expuestas Políticamente -PEPS-) Procedimiento spFDETransaccionesInsertar Linea 88”, 
“Se presento el siguiente error:\nER_NUID_RP_LS 416 N?mero de Identificaci?n se encuentra Reportado en alguna Lista de Vetados”</t>
  </si>
  <si>
    <t>Pendiente Entrega desarrollo - 11/04/2025 - SE CREA CASO HACIA EL PROVEEDOR 60945, Todavía no han terminado con la entrega.</t>
  </si>
  <si>
    <t>Erazo Vasquez</t>
  </si>
  <si>
    <t>Viviana</t>
  </si>
  <si>
    <t>Tipo de solicitud Nuevo desarrollo o mejoras
Aplicación : SIFI
Nombre de contacto: viviana erazo vasquez
teléfono de contacto: 3117799867
describa su solicitud: se requiere realizar un desarrollo para que el sistema Poble automáticamente los campos de dirección de correspondencia y grupo de impresión en SIFI de los encargos realizados por Fiduexpress y el área de Inmobiliario.
Se adjunta pantallazo del modulo en donde se debe de relacionar la información de la dirección de la correspondencia y grupo de impresión en SIFI.</t>
  </si>
  <si>
    <t>Se crea sesión para entendimiento del caso</t>
  </si>
  <si>
    <t>Sifi</t>
  </si>
  <si>
    <t>https://centrodegestiongecc.onbmc.com/arsys/servlet/ViewFormServlet?form=HPD%3AHelp+Desk&amp;server=onbmc-s&amp;eid=INC000002824400</t>
  </si>
  <si>
    <t>Carvajal Aguilar</t>
  </si>
  <si>
    <t>Michael</t>
  </si>
  <si>
    <t>Solicitud nuevos desarrollos y orden de servicios,</t>
  </si>
  <si>
    <t>Se requiere desarrollar en el portal web de Fiducoomeva consultas de producto y continuidad para FVP</t>
  </si>
  <si>
    <t>Alta</t>
  </si>
  <si>
    <t>Se crea sesión para la elaboración y certificación de escenarios de pruebas</t>
  </si>
  <si>
    <t>Artunduaga Noguera</t>
  </si>
  <si>
    <t>Jhon Hevert</t>
  </si>
  <si>
    <t>Tipo de solicitud Nuevo desarrollo o mejoras
Aplicación : Finansoft
Nombre de contacto: jhon hevert artunduaga noguera
teléfono de contacto: 3146811714
describa su solicitud: Incorporación deterioro fonmutuales y fondo de garantías en formato 351, ver documentos adjuntos.</t>
  </si>
  <si>
    <t>Se crea sesió para entendimiento del caso</t>
  </si>
  <si>
    <t>Tipo de solicitud Nuevo desarrollo o mejoras
Aplicación : SIFI
Nombre de contacto: jhon hevert artunduaga noguera
teléfono de contacto: 3146811714
describa su solicitud: Se solicita que en la generación de formato 351, específicamente en la forma PIFZ16PI, se evidencia lo siguiente  esta forma  genera paralelamente los formato 351-portafolio de inversiones y 397-Operaciones repo y simultaneas, pero para el formato 397 se observa que al momento de creación de esta información para el caso del FVP, el sistema solo genera la data de la opción 83714-FVP consolidadora, es decir, cuando exista este tipo de operaciones simultaneas para el FVP el sistema debe generar la data en formato plano tanto en la 83714-FVP consolidadora como su respectiva opción 83719 Inversiones no tradicionales (hija), cabe mencionar que para  dar continuidad con las trasmisiones este proceso  faltante se realiza manualmente.</t>
  </si>
  <si>
    <t>Se crea sesión de entendimiento para el martes 29 de abril</t>
  </si>
  <si>
    <t>Andrade Rivera</t>
  </si>
  <si>
    <t>Lorena</t>
  </si>
  <si>
    <t>Tipo de solicitud Nuevo desarrollo o mejoras
Aplicación : SIFI
Nombre de contacto: LORENA ANDRADE RIVERA
teléfono de contacto: 3174228965
describa su solicitud: Buenas Tardes, se solicita desarrollo según lo enviado por el proveedor Caso 142072 XBRL.</t>
  </si>
  <si>
    <t>Se crea SIDE 143966 al proveedor ITC.</t>
  </si>
  <si>
    <t>Forero Parra</t>
  </si>
  <si>
    <t>Maritza Fernanda</t>
  </si>
  <si>
    <t>Tipo de solicitud Nuevo desarrollo o mejoras
Aplicación : Finansoft
Nombre de contacto: Maritza Forero
teléfono de contacto: 3184468254
describa su solicitud: Por favor requiero de su ayuda para que al momento en que  se estén grabando los retiros en el FVP, cuando un cliente esté en estado Pendiente por confirmar genere la alerta y no lo deje pasar y así evitar que se presenten errores en el cierre. Gracias</t>
  </si>
  <si>
    <t>Se crea SIDE 60967 hacia el proveedor Ingesoft.</t>
  </si>
  <si>
    <t>Vallecilla</t>
  </si>
  <si>
    <t>Sarany</t>
  </si>
  <si>
    <t>Tipo de solicitud Nuevo desarrollo o mejoras
Aplicación : Finansoft
Nombre de contacto: Sarany Vallecilla
teléfono de contacto: 3173391673
describa su solicitud: Se requiere la carga de información al aplicativo de monitoreo transaccional Monitor ACRM bajo el registro (interfaz) 2525 (ACRM+ - Relacion Cliente -ENTRADA-) que provenga de los diferentes orígenes de información que permita almacenar los datos de las personas que a diario se encuentran relacionadas con un producto activos, incluyendo a los beneficiarios finales</t>
  </si>
  <si>
    <t>Nos reunimos con el proveedor para el entendimiento, y se concluye que de parte de la Fiduciari debemos proporcionar los Scripts que van a Monitor, de esta manera poder hacer el análisis y realizar el estudio del Desarrollo.</t>
  </si>
  <si>
    <t>Cifuentes Perdomo</t>
  </si>
  <si>
    <t>Claudia Jimena</t>
  </si>
  <si>
    <t>Tipo de solicitud Nuevo desarrollo o mejoras
Aplicación : Finansoft
Nombre de contacto: Claudia Jimena Cifuentes Perdomo
teléfono de contacto: 3155715951
describa su solicitud: Se solicita modificación en el modelo de Fiduexpress.</t>
  </si>
  <si>
    <t>Mafla Prieto</t>
  </si>
  <si>
    <t>Janneth</t>
  </si>
  <si>
    <t>Tipo de solicitud Nuevo desarrollo o mejoras
Aplicación : Finansoft
Nombre de contacto: janneth mafla
teléfono de contacto: 3017687932
describa su solicitud: Generar Indicador calidad de datos de los clientes activos de la Entidad</t>
  </si>
  <si>
    <t>Dominguez Lopez</t>
  </si>
  <si>
    <t>Seleccione aplicación: Finansoft
Solicitante : rodl1875
Nombre de contacto: RODOLFO DOMINGUEZ LOPEZ
teléfono de contacto: 3043366094
describa su solicitud: Teniendo presente el requerimiento de la SFC donde solicita se manejen las inversiones en libranzas en los negocios de titularización como cartera (activa), se requiere realizar las adecuaciones necesarias al módulo de cartera para que soporte el cargue, valoración y cancelación de los diferentes títulos. Para esto se requiere que nos brinden un espacio con el proveedor para plantear la necesidad, validar los ajustes necesarios para el cargue masivo y los recaudos masivos y como resultado, se generé la propuesta para el ajuste e implementación,</t>
  </si>
  <si>
    <t>Configurar</t>
  </si>
  <si>
    <t>Tipo de solicitud Nuevo desarrollo o mejoras
Aplicación : Finansoft
Nombre de contacto: Maritza Forero
teléfono de contacto: 3184468254
describa su solicitud: Por favor activar el botón de retiros en cheque del FVP en Finansoft, el cual debe contener los siguientes campos adicionales a los que ya cuenta. Una vez se seleccione la opción retiro en cheque y se diligencia el valor, al dar clic en el botón siguiente, debe mostrar una ventana que solicite lo siguiente:
. Opción para grabar el beneficiario del cheque, el cual debe contener tipo de identificación, numero de identificación y nombre completo.
. Opción de seleccionar: El nombre de la oficina bancaria (Bancoomeva) y Ciudad donde desean reclamar el cheque
. Casilla para diligenciar cual es la persona autorizada para reclamar el cheque (Nombre e Identificación y tipo de identificación).
Una vez se grabe el retiro debe hacer interface en SIFI para que tesorería realice el cumplimiento.
Para las funcionalidades en el portal transaccional debe aplicar los mismos campos cuando el cliente solicite el retiro en cheque y también debe hacer interface en SIFI para el cumplimiento por parte de tesorería.</t>
  </si>
  <si>
    <t>Solicitud realizada al proveedor con numero de SIDE  60980, Pendiente reunion de entendimiento</t>
  </si>
  <si>
    <t>Tipo de solicitud Nuevo desarrollo o mejoras
Aplicación : Finansoft
Nombre de contacto: LORENA ANDRADE RIVERA
teléfono de contacto: 3174228965
describa su solicitud: Sistematizar la totalidad de los pasivos administrados a través de los Negocios Fiduciarios en moneda nacional y moneda extranjera y que además realice la causación de intereses sea a tasa fija o variable, y permita igualmente aplicar los pagos de las cuotas del crédito y los intereses.</t>
  </si>
  <si>
    <t>Gestion Contable</t>
  </si>
  <si>
    <t>Solano Rodriguez</t>
  </si>
  <si>
    <t>Sharon Dayana</t>
  </si>
  <si>
    <t>Tipo de solicitud Nuevo desarrollo o mejoras
Aplicación : SIFI
Nombre de contacto: sharon solano
teléfono de contacto: 3013250067
describa su solicitud: 1. Se solicita que en la forma GEMSPCXR se puedan parametrizar todas las estructuras activas en el sistema a la fecha (12-13-14-15-16-17).
2. Se solicita que en la forma GEMSPCXR se puedan asignar en los Renglones 4 y 5 cuentas contables de Utilidades y Perdidas (ctas 39) que ya han sido utilizados en el renglón 3
3. Que se puedan generar los certificados de manera individual y en masivo.
4. Se modifique la planilla y texto ya que se está generando con el nombre y firma de otra fiduciaria.</t>
  </si>
  <si>
    <t>Rojas Villota</t>
  </si>
  <si>
    <t>INC000004274763 Ajuste Deterioro al 100
Caso creado ya que el sistema cerro el caso mensionado</t>
  </si>
  <si>
    <t>Validar Requerimiento</t>
  </si>
  <si>
    <t>Nuevos Servicios</t>
  </si>
  <si>
    <t>18/4/24 12:11:27</t>
  </si>
  <si>
    <t>22/5/24 11:29:56</t>
  </si>
  <si>
    <t>28/5/24 15:24:07</t>
  </si>
  <si>
    <t>27/6/24 15:40:34</t>
  </si>
  <si>
    <t>28/11/24 16:33:14</t>
  </si>
  <si>
    <t>23/12/24 11:40:07</t>
  </si>
  <si>
    <t>19/2/25 09:13:03</t>
  </si>
  <si>
    <t>13/3/25 14:42:43</t>
  </si>
  <si>
    <t>19/3/25 09:40:15</t>
  </si>
  <si>
    <t>21/4/25 15:12:28</t>
  </si>
  <si>
    <t>25/4/25 11:48:41</t>
  </si>
  <si>
    <t>15/5/25 13:59:08</t>
  </si>
  <si>
    <t>20/6/25 10:56:12</t>
  </si>
  <si>
    <t>26/6/25 10:46:30</t>
  </si>
  <si>
    <t>Fecha</t>
  </si>
  <si>
    <t>Fila</t>
  </si>
  <si>
    <t>Observacion</t>
  </si>
  <si>
    <t>INC00000488413</t>
  </si>
  <si>
    <t>Pruebas</t>
  </si>
  <si>
    <t>Esta realizando la revisión del nuevo requerimiento para poder enviarles la propuesta o solicitar una reunión de entendimiento</t>
  </si>
  <si>
    <t xml:space="preserve">llamar a usuario
</t>
  </si>
  <si>
    <t xml:space="preserve">Pendiente entregar desarrollo por ingesoft, se envio correo solicitando fecha de entrega
</t>
  </si>
  <si>
    <t>10.En Produccion</t>
  </si>
  <si>
    <t>Miguel instala 855 Esta pendiente realizar la prueba hasta que termine las pruebas de Perseverados, que es alternativamente Jonathan certifique con Maritza este, el ajuste de los extractos con penalización.
Se agenda junto con  el requerimiento, listado de mejoras Portal transaccional. En espera de que se terminen los extractos.</t>
  </si>
  <si>
    <t>Ronal dijo que no se puede Julio Torres dice que si se puede,  citar a los tres para comprender el requeSe solicita reu al proveedor, pendiente En proceso de Entendimiento</t>
  </si>
  <si>
    <t>Se cierra las propuestas por que son del año pasado y contiene valores vencidos, y en vista de que el colaborador no respondio, ni se presentó a los comité de compras.</t>
  </si>
  <si>
    <t>Se solicita instalación 917 a Miguel. Esta pendiente la certificación hasta que  se cierre lo de extractos de perseverados que esta certificando Jonathan Se agenda junto con el otro remedy Ajuste campo rentabilidad. certifique que busque el cliente y validde la certificación calculo de rentabilidad.
se solicitó instalación 889, se entrega únicamente calculo rentabilidad a tir, queda pendiente modelo de recuperación de contraseña y procesos de preautorizados
Todavía que falta que entregue las otras instalaciones para poder cer</t>
  </si>
  <si>
    <t>Se crea SIDE 143966 al proveedor ITC. Son dos casos, inicialemnte lo manejo Ana Maria, una serie de errores del modulo, entonces ya le dio a a las olucion a dos errores, son 3, el tercero se debe hacer desarrollo</t>
  </si>
  <si>
    <t>Pendiente entrega de la certificacion de pruebas</t>
  </si>
  <si>
    <t>Pendiente Reunión de entendimiento</t>
  </si>
  <si>
    <t>Reunion 13 junio</t>
  </si>
  <si>
    <t>Esta pendiente reunion con julio puerto</t>
  </si>
  <si>
    <t>INC000004884162</t>
  </si>
  <si>
    <t>Retiros en Cheque para el FVP en Finansoft y Portal Transaccional</t>
  </si>
  <si>
    <t>907-873</t>
  </si>
  <si>
    <t>Se consulta con el proveedor que manejo darle, soporte o nuevo desarrollo</t>
  </si>
  <si>
    <t>podría quedar certificado si todo sale bien para el 11/07/25
Si  la mesa se pone al frente de eso, posiblemente a final de mes ya lo tenemos instalado en producción.- Este es de Jonathan</t>
  </si>
  <si>
    <t>Pendiente entrega de la certificacion de pruebas parte de Sebastian Castro Valderrama - Homologacion esperar a Sarany llega 13 de julio</t>
  </si>
  <si>
    <t>855 - 903</t>
  </si>
  <si>
    <t xml:space="preserve">Jonattan se reunira con el proveedro el dia 3 julio para las incosistencias, ( no deja vincular el usuario administrador inmoviliario)
</t>
  </si>
  <si>
    <t>Nombre del Desarrollo</t>
  </si>
  <si>
    <t>INC000004893354</t>
  </si>
  <si>
    <t>Calculo de la perdida esperada</t>
  </si>
  <si>
    <t>Se le asignara una persona para que se desarrolle por mejoramiento</t>
  </si>
  <si>
    <t>ANTECEDENTES: El sistema Finansoft no realiza el cálculo de la perdida esperada.
OBJETIVO: Poder automatizar el proceso de cálculo de la perdida esperada.
JUSTIFICACIÓN: De acuerdo con la norma y el concepto emitido desde el área de contabilidad se debe realizar el calculo manual de la perdida esperada para los negocios de Titularización y demás que así lo requieran.</t>
  </si>
  <si>
    <t>https://centrodegestiongecc.onbmc.com/arsys/servlet/ViewFormServlet?form=HPD%3AHelp+Desk&amp;server=onbmc-s&amp;eid=INC000002945612</t>
  </si>
  <si>
    <t>860-879-880-887</t>
  </si>
  <si>
    <t>Instaladores.1</t>
  </si>
  <si>
    <t>Instaladores.2</t>
  </si>
  <si>
    <t>Instaladores.3</t>
  </si>
  <si>
    <t>Instaladores.4</t>
  </si>
  <si>
    <t>Instaladores.5</t>
  </si>
  <si>
    <t>Instaladores.6</t>
  </si>
  <si>
    <t>Instaladores.7</t>
  </si>
  <si>
    <t>Instalador</t>
  </si>
  <si>
    <t>Jhon Hevert Artunduaga Noguera-Jhon cardona</t>
  </si>
  <si>
    <t>2076-2125</t>
  </si>
  <si>
    <t>INC000004894384</t>
  </si>
  <si>
    <t>https://centrodegestiongecc.onbmc.com/arsys/servlet/ViewFormServlet?form=HPD%3AHelp+Desk&amp;server=onbmc-s&amp;eid=INC000002946479</t>
  </si>
  <si>
    <t xml:space="preserve">Eliminar en Finansoft y en Fiduexpres la ocupación </t>
  </si>
  <si>
    <t xml:space="preserve"> Vivian katerine Aguado Castañeda</t>
  </si>
  <si>
    <t>Pendiente realizar pruebas por parte de Maritza (Depende de la terminar pruebas de movimientos perseverados )</t>
  </si>
  <si>
    <t>Pendiente solicitar reunion con el proveedor</t>
  </si>
  <si>
    <t xml:space="preserve">Pendiente por parte de analisis del proveedor </t>
  </si>
  <si>
    <t>se encuentra en analisis por el proveedor (Formato 284 actualizado en el SIDE)</t>
  </si>
  <si>
    <t>Combinada</t>
  </si>
  <si>
    <t xml:space="preserve">INC0000048261735.Entrega DesarrolloLiderado por Jesion, pendiente con el 
</t>
  </si>
  <si>
    <t>INC000004884132.Reunión de entendimientoPruebas</t>
  </si>
  <si>
    <t>INC0000048841601.Ajuste de RequerimientoPendiente programar reunion inicial con usuario</t>
  </si>
  <si>
    <t>INC0000047828063.Propuesta ComercialEsta realizando la revisión del nuevo requerimiento para poder enviarles la propuesta o solicitar una reunión de entendimiento</t>
  </si>
  <si>
    <t>INC0000047950390_CanceladoCancelado por resuelto por equipo TI</t>
  </si>
  <si>
    <t>INC0000047121030_CanceladoCancelado por que se creará otro requerimiento por incluirlo en el portal web</t>
  </si>
  <si>
    <t>INC00000475021810.En ProducciónEn producción</t>
  </si>
  <si>
    <t>INC00000473952310.En ProducciónEn producción</t>
  </si>
  <si>
    <t>INC0000042747637.Elaboración Escenarios de pruebaEnviado la base de valoracion, pendiente a que se levanten y se realicen las pruebas</t>
  </si>
  <si>
    <t>INC0000045204488.Certificación Escenarios PruebasPendiente entregar a J londoño info  campos por parte de Miguel</t>
  </si>
  <si>
    <t>INC00000476310710.En ProducciónEn producción</t>
  </si>
  <si>
    <t>INC00000478134510.En ProducciónEn producción</t>
  </si>
  <si>
    <t xml:space="preserve">INC0000047874822.Reunión de entendimientollamar a usuario
</t>
  </si>
  <si>
    <t xml:space="preserve">INC0000044868498.Certificación Escenarios PruebasPendiente entregar desarrollo por ingesoft, se envio correo solicitando fecha de entrega
</t>
  </si>
  <si>
    <t>INC00000465786310.En ProduccionPendiente evidencias del proceso, para certificar en Producción</t>
  </si>
  <si>
    <t>INC0000046913537.Elaboración Escenarios de pruebaMiguel instala 855 Esta pendiente realizar la prueba hasta que termine las pruebas de Perseverados, que es alternativamente Jonathan certifique con Maritza este, el ajuste de los extractos con penalización.
Se agenda junto con  el requerimiento, listado de mejoras Portal transaccional. En espera de que se terminen los extractos.</t>
  </si>
  <si>
    <t>INC0000046980145.Entrega DesarrolloPendiente Entrega desarrollo - 2/05/2025 . Esta asignado a Juan Carlos</t>
  </si>
  <si>
    <t>INC0000047030600_CanceladoPendiente Entrega desarrollo - 11/04/2025 - Definir  parametros antes - Responsabilidad Fondos y Contabilidad - SE CREA CASO HACIA EL PROVEEDOR 60946</t>
  </si>
  <si>
    <t>INC0000047942479.Autorización Paso a ProducciónDirección Comercial autoriza despliegue en producción. Se realiza pruebas y colaborador certifica, se ajustó en libranzas 3 los permiso en FPV, todo solo Lectura, y en el nuevo desarrollo Simulador de retiro se le dió escritura. Bajo la instalación no 912.</t>
  </si>
  <si>
    <t>INC00000474977310.En ProducciónEn producción</t>
  </si>
  <si>
    <t>INC00000479905110.En ProducciónEn producción</t>
  </si>
  <si>
    <t>INC0000045258640_CanceladoRonal dijo que no se puede Julio Torres dice que si se puede,  citar a los tres para comprender el requeSe solicita reu al proveedor, pendiente En proceso de Entendimiento</t>
  </si>
  <si>
    <t>INC0000046956060_CanceladoEn producción</t>
  </si>
  <si>
    <t>INC0000047683210_CanceladoFalta claridad en el requerimiento, y el responsable ya es otro  persona, se reenviará el requerimiento al nuevo responsable para ajustarlo y volver a radicar. No manejo perfiles esto es otra área. Falta de entendimiento del proceso, revisar con Julio</t>
  </si>
  <si>
    <t>INC0000047691190_CanceladoSe va a cerrar  Remedy falta aclaración, se le pide a Maritza si va a volver a tomar este requerimientp, en caso de que si que lo mejore y aclare para realizar el procedimiento.Preguntar para saber como colocar el Asesor responsable cuándo se hace una vinculación</t>
  </si>
  <si>
    <t>INC0000047194910_CanceladoCerrar el caso luego de montar la gestión en remedy- Pendiente ajuste del colaborador en el requerimiento, proeveedor envía comentarios para ser mas claros. Este desarrollo lo asumirá Yolima</t>
  </si>
  <si>
    <t>INC00000474573810.En ProducciónEn producción</t>
  </si>
  <si>
    <t>INC00000478498810.En ProducciónEn producción</t>
  </si>
  <si>
    <t>INC00000474324410.En ProducciónEn producción</t>
  </si>
  <si>
    <t>INC00000476526410.En ProducciónEn producción - Gestionado por Miguel</t>
  </si>
  <si>
    <t>INC00000478692110.En ProducciónDado que se otorgan los permisos para Modulo Programación de Solicitudes por Título raíz, doy por resuelto el Remedy .
Pidieron permisos para utilizar el mismo desarrollo solicitado por negocios, ahora les falta mejorar de acuerdo a ests preguntas n la ruta Títulos, Consultas, Valoración. 
¿Se puede escoger la valoración de varios originadores a la vez, o si o si, toca traerlos uno a uno?
y también, ¿se puede escoger solo los de fecha vencida?</t>
  </si>
  <si>
    <t>INC0000047579000_Canceladose cancela por que Miguel lo va a terminar de hacer.El remedy se asigna a Miguel</t>
  </si>
  <si>
    <t>INC0000047243243.Propuesta ComercialPendiente presentación al comité de compras hasta el 4 de abril tiene plazo de enviar los docs al comité y el martes debe presentarse</t>
  </si>
  <si>
    <t>INC0000046948790_CanceladoSe cierra las propuestas por que son del año pasado y contiene valores vencidos, y en vista de que el colaborador no respondio, ni se presentó a los comité de compras.</t>
  </si>
  <si>
    <t>INC00000476082110.En ProducciónEn producción</t>
  </si>
  <si>
    <t>INC0000046948998.Certificación Escenarios Pruebas</t>
  </si>
  <si>
    <t>INC0000047567220_CanceladoSe cierra remedy y se envía correo avisando de que este Desarrollo debe analizarse si se colocará en la lista de Tesorería</t>
  </si>
  <si>
    <t>INC0000047561695.Entrega DesarrolloPendiente entrega Desarrollo</t>
  </si>
  <si>
    <t>INC00000473572610.En ProducciónEn producción Ya la consulta se encuentra en ORM, Se le informa a Marcela. Una vez indique que ya tiene usuario en ORM se le asigna los permisos de la consulta</t>
  </si>
  <si>
    <t>INC0000047194505.Entrega DesarrolloPendiente Desarrollo, debería pasarse al área de Mejoramiento.</t>
  </si>
  <si>
    <t>INC0000044423995.Entrega DesarrolloPendiente Entrega desarrollo-Asignado a Anderson proceso con Julio Torres, en seguimiento</t>
  </si>
  <si>
    <t>INC0000044800578.Certificación Escenarios PruebasSe le envio a Diego y Alexandra la notificacion de que los emisores estan creados, y que pueden continuar con las pruebas</t>
  </si>
  <si>
    <t xml:space="preserve">INC0000047751997.Elaboración Escenarios de pruebaPendiente de la instalación para la semana del 21 de abril Jonattan - instalan el paquete que no tienen dependencia, y podemos empezar a hacer la certificación. Se libera en libranzas 2.
</t>
  </si>
  <si>
    <t>INC0000047030375.Entrega DesarrolloTodavía falta entregarlo - Pendiente Entrega desarrollo - 11/04/2025 - Correo recordatorio programado y enviado</t>
  </si>
  <si>
    <t>INC0000042961678.Certificación Escenarios PruebasEse tema esta pendiente por parte de la mesa de hacer unas últimas pruebas de certificación
Si  la mesa se pone al frente de eso, posiblemente a final de mes ya lo tenemos instalado en producción.- Este es de Jonathan</t>
  </si>
  <si>
    <t>INC0000040987119.Autorización Paso a ProducciónSe confirma instalación en producción. Falta la validación por parte del equipo de riesgo financiero.</t>
  </si>
  <si>
    <t>INC0000047512019.Autorización Paso a ProducciónSe certifica las pruebas - Pendiente paso a producción - Presenta errores el Script, en espera de ajuste-Se ajusta por 3 horas desarrollo-se crea side, pendiente validación proveeedor</t>
  </si>
  <si>
    <t>INC0000047766786.Instalación en PruebasSe crea sesión con Julio. El 873 ya se encuentra en producción y el 907 esta Pendiente instalación 907, eso lo trabajo con Julio para certificar. 2o. Paso de pruebas oes con Maritza.</t>
  </si>
  <si>
    <t>INC0000046788646.Instalación en PruebasSe solicita instalación 917 a Miguel. Esta pendiente la certificación hasta que  se cierre lo de extractos de perseverados que esta certificando Jonathan Se agenda junto con el otro remedy Ajuste campo rentabilidad. certifique que busque el cliente y validde la certificación calculo de rentabilidad.
se solicitó instalación 889, se entrega únicamente calculo rentabilidad a tir, queda pendiente modelo de recuperación de contraseña y procesos de preautorizados
Todavía que falta que entregue las otras instalaciones para poder cer</t>
  </si>
  <si>
    <t>INC0000047639122.Reunión de entendimientoInforma Jessica que se pasará a Yolima, una vez que se le informó que estaba pendiente la aclaración del requerimiento ya que al presentarse al proveedor, el indica que este campo de custodio ya existe.</t>
  </si>
  <si>
    <t>INC0000047780040_CanceladoPendiente definir si es necesario crear SIDE, es una consulta hacie el proveedor y se envía correo. En estos momentos los casos de entendimientos se postergan hasta no tener instalado los desarrollos en bases</t>
  </si>
  <si>
    <t>INC0000047833470_CanceladoSe cancela debido a que es un caso que tiene que ver con ajustes desde portal trasaccional al Aplicativo SIFI, y la asigno a Juan Carlos para definir su gestión. - Según reunión de entendimiento en el momento de que nace una vinculación, esta seleccionando solo banco, pero en los dos datos debe ir la opción ambos, tanto para banco como para Fiduciaria. Debido al caso lo devolveré a Juan Carlos.</t>
  </si>
  <si>
    <t>INC0000047884612.Reunión de entendimientoProveedor envía Número de instalación 915, y se envia a Miguel para instalar. Validando scripts con el proveedor. Se valida copn el proveedor, el proveedor esta validadndo con desarrollador, enviara script para validar. Se crea SIDE 60965 y se envía correo, se define espacio para comprehender mejor la solicitud. Al momento de diligenciar los número de fideicomiso genera error porque solo admite 5 digitos, y este año ya los nit van en 6 digitos, lo que esta pidiendo Viviana es que ampliens esto hasta 10 para evitar estos errores</t>
  </si>
  <si>
    <t>INC0000047889840_CanceladoSe cancela, informa Yolanda de que ya no será necesario</t>
  </si>
  <si>
    <t>INC0000047916230_CanceladoSe le devuelve al nuevo responsable Maritza, para volver a Radicar ya que este remedy no fue muy claro Ampliar lista de tipos de identificación, en el combo box del portal transaccional Registro de Preautorizados. Solo se encuentran  CC y CE</t>
  </si>
  <si>
    <t>INC0000048002915.Entrega DesarrolloSe confirma que la fecha estimada de entrega del catálogo y estimación ha sido establecida para el 01 de julio. Quedamos atentos a sus comentarios o cualquier observación adicional que puedan tener.</t>
  </si>
  <si>
    <t>INC0000048018620_CanceladoSe cancela el remedy y se asigna a Ana Maria, este tiene que ver con la funcionalidad al aplicativo de finansoft, mostrando un valor de saldo diferente a la consulta ORM "Consulta saldo FPV".  la consulta se revisa y funciona acorde. Se le consulta al proveedor, en espera de respuesta.</t>
  </si>
  <si>
    <t>INC0000048046460_CanceladoSe cancela debido a que el formato de requerimiento no esta conforme a lo que el usuario necesita. e entendimiento con los proveedores. Se crea SIDE 60964 solicitando que se pueda transformar los datos conforme se deban subir a Monitor, adiconal se debe hacer una conexión con monitor para cargarlos allí</t>
  </si>
  <si>
    <t>INC0000048160802.Reunión de entendimientoSe crea SIDE 143966 al proveedor ITC. Son dos casos, inicialemnte lo manejo Ana Maria, una serie de errores del modulo, entonces ya le dio a a las olucion a dos errores, son 3, el tercero se debe hacer desarrollo</t>
  </si>
  <si>
    <t>INC00000480931610.En ProducciónCerrar caso, ya se hizo el ajuste en reporte Uiaf. Se crea sesión de entendimiento.</t>
  </si>
  <si>
    <t>INC00000481883610.En ProducciónSe certifica con correo.Se crea sesión de entendimiento miércoles, 30 de abril de 2025 11:30 a. m.-12:00 p. m.</t>
  </si>
  <si>
    <t>INC00000481884010.En ProducciónEste lo esta trabajando Julio con Miguel. Certifico con correo que ennvio Miguel y cerrar casoz. Se crea sesión de entendimiento.</t>
  </si>
  <si>
    <t>INC00000481940710.En ProducciónSe crea la consulta, en validación por el colaborador en la aplicación ORM, carpeta Consulta Fondos, con nombre Consulta Clientes pendiente por confirmar.</t>
  </si>
  <si>
    <t>INC00000482047610.En ProducciónSe agrega la columna Lugar de correspondencia en la consulta Clientes Finansoft</t>
  </si>
  <si>
    <t>INC0000048206597.Elaboración Escenarios de pruebaSe instalo en libranzas 3, se solicito elaboracion de escenarios y certificacion a la usuaria</t>
  </si>
  <si>
    <t>INC0000048209358.Certificación Escenarios PruebasPendiente entrega de la certificacion de pruebas</t>
  </si>
  <si>
    <t>INC0000048243228.Certificación Escenarios PruebasPendiente respuesta de proveedor de inconsistencias</t>
  </si>
  <si>
    <t>INC0000048277918.Certificación Escenarios PruebasPendiente Reunión de entendimiento</t>
  </si>
  <si>
    <t>INC0000048216320_CanceladoSegún el entendimiendo del usuario es automatizar la consulta que no se tenga que ir al ORM sino que se exporte automaticamente con un scrip</t>
  </si>
  <si>
    <t>INC0000048227020_Cancelado</t>
  </si>
  <si>
    <t>INC0000048346450_CanceladoMiguel-Julio Puerto</t>
  </si>
  <si>
    <t>INC0000048384332.Reunión de entendimientoReunion 13 junio</t>
  </si>
  <si>
    <t>INC0000048412953.Propuesta ComercialPendiente autorizacion comited de compras</t>
  </si>
  <si>
    <t>INC0000048574742.Reunión de entendimientoSegún la reunion con Sandra Bonilla no se requiere desarrollo solo se requiere  acceso al aplicativo se valido que este usuario ya tiene instalado ORM y tiene usuario</t>
  </si>
  <si>
    <t>INC0000048677770_CanceladoSolicitud FD-FT-284</t>
  </si>
  <si>
    <t>INC0000048683250_CanceladoSe requiere validar porque la consulta de FIC no trae el valor del saldo de los clientes , se adjunta la base descargada el día de hoy , se requiere validar dado que se debe de cargar la participación de los asociados clientes activos  y en esta consulta todos salen inactivos</t>
  </si>
  <si>
    <t>INC0000048686722.Reunión de entendimientoEsta pendiente reunion con julio puerto</t>
  </si>
  <si>
    <t>INC00000486879810.En ProducciónEl usuario necesita un campo adicional, pendiente reunion con ella para ampliar la informacion</t>
  </si>
  <si>
    <t>INC0000048742540_Cancelado</t>
  </si>
  <si>
    <t>INC0000048743052.Reunión de entendimientoRegistro de acuerdo – Reunión 18-06-2025
De acuerdo con la reunión sostenida el día 18 de junio de 2025 con la usuaria Claudia González Zambrano, se establece como acuerdo que la usuaria mencionada será la encargada de programar una reunión con la Gerencia para presentar el requerimiento de manera formal.
Quedamos a la espera de dicha convocatoria para dar continuidad al proceso.</t>
  </si>
  <si>
    <t>INC0000048841621.Ajuste de RequerimientoPruebas</t>
  </si>
  <si>
    <t>INC0000048841622.Reunión de entendimientoPruebas</t>
  </si>
  <si>
    <t>INC0000046788646.Instalación en PruebasPendiente entrega de versionamiento para realizar pruebas en Libranzas 2</t>
  </si>
  <si>
    <t>INC00000482779110.En ProducciónSegún indicaciones del usuario el caso fue resuelto</t>
  </si>
  <si>
    <t>INC00000469489910.En Producción</t>
  </si>
  <si>
    <t>INC00000469489910.En ProducciónSe evidencian correos de que ya esta en produccion</t>
  </si>
  <si>
    <t xml:space="preserve">INC0000047874822.Reunión de entendimientoReunion con el solicitante el dia 3/07/25
</t>
  </si>
  <si>
    <t xml:space="preserve">INC0000047828063.Propuesta ComercialReunion con el solicitante el dia 3/07/25
</t>
  </si>
  <si>
    <t>INC0000048160802.Reunión de entendimientoSe le envio correo a Camila de ITC para validar el estado</t>
  </si>
  <si>
    <t>INC0000046913537.Elaboración Escenarios de pruebaPendiente realizar pruebas por parte de Maritza</t>
  </si>
  <si>
    <t>INC0000048877221.Ajuste de Requerimiento</t>
  </si>
  <si>
    <t>INC0000048885097.Elaboración Escenarios de pruebaEnviado la base de valoracion, pendiente a que se levanten y se realicen las pruebas</t>
  </si>
  <si>
    <t>INC0000048877221.Ajuste de RequerimientoSe consulta con el proveedor que manejo darle, soporte o nuevo desarrollo</t>
  </si>
  <si>
    <t>INC0000047458020_CanceladoSe cancela por desarrollo entregado al área de Aseguramiento y Mejora FID</t>
  </si>
  <si>
    <t>INC00000465786310.En ProducciónPendiente evidencias del proceso, para certificar en Producción</t>
  </si>
  <si>
    <t>INC00000479424710.En ProducciónDirección Comercial autoriza despliegue en producción. Se realiza pruebas y colaborador certifica, se ajustó en libranzas 3 los permiso en FPV, todo solo Lectura, y en el nuevo desarrollo Simulador de retiro se le dió escritura. Bajo la instalación no 912.</t>
  </si>
  <si>
    <t xml:space="preserve">INC0000047751997.Elaboración Escenarios de pruebaJonattan se reunira con el proveedro el dia 3 julio para las incosistencias, ( no deja vincular el usuario administrador inmoviliario)
</t>
  </si>
  <si>
    <t>INC0000044868498.Certificación Escenarios Pruebas26/06/2025 se entrego el instalador, se procede a reunir a los interesados para defirnir plan de trabajo</t>
  </si>
  <si>
    <t>INC0000042961678.Certificación Escenarios Pruebaspodría quedar certificado si todo sale bien para el 11/07/25
Si  la mesa se pone al frente de eso, posiblemente a final de mes ya lo tenemos instalado en producción.- Este es de Jonathan</t>
  </si>
  <si>
    <t>INC0000048209358.Certificación Escenarios PruebasPendiente entrega de la certificacion de pruebas parte de Sebastian Castro Valderrama - Homologacion esperar a Sarany llega 13 de julio</t>
  </si>
  <si>
    <t>INC0000048933542.Reunión de entendimiento</t>
  </si>
  <si>
    <t>INC0000047579002.Reunión de entendimientoSe le asignara una persona para que se desarrolle por mejoramiento</t>
  </si>
  <si>
    <t>INC0000042747638.Certificación Escenarios PruebasEnviado la base de valoracion, pendiente a que se levanten y se realicen las pruebas</t>
  </si>
  <si>
    <t>INC0000048885098.Certificación Escenarios PruebasEnviado la base de valoracion, pendiente a que se levanten y se realicen las pruebas</t>
  </si>
  <si>
    <t>INC0000048943841.Ajuste de Requerimiento</t>
  </si>
  <si>
    <t>INC0000048877222.Reunión de entendimientoPendiente solicitar reunion con el proveedor</t>
  </si>
  <si>
    <t>INC0000048943842.Reunión de entendimientoPendiente solicitar reunion con el proveedor</t>
  </si>
  <si>
    <t>Entrega de resultados maximo el dia 09/07/2025</t>
  </si>
  <si>
    <t>INC0000044800578.Certificación Escenarios PruebasEntrega de resultados maximo el dia 09/07/2025</t>
  </si>
  <si>
    <t>Cancelado</t>
  </si>
  <si>
    <t>Plan de mejora. (Politica de cada que cada vez que se entrega un desarrollo haya una prueba de funcionalidad, analista ti, ing implementacion, arquitecto de Ti)</t>
  </si>
  <si>
    <t>Desarrollo entregado pendiente por instalar</t>
  </si>
  <si>
    <t>INC000004900455</t>
  </si>
  <si>
    <t>Chaverra Ordoñez</t>
  </si>
  <si>
    <t>Adriana Lucia</t>
  </si>
  <si>
    <t>Tipo de solicitud Nuevo desarrollo o mejoras
Aplicación : SIFI
Nombre de contacto: Adriana Chaverra
teléfono de contacto: 3138735327
describa su solicitud: Nuevo desarrollo OFV PN-PJ</t>
  </si>
  <si>
    <t>https://centrodegestiongecc.onbmc.com/arsys/servlet/ViewFormServlet?form=HPD%3AHelp+Desk&amp;server=onbmc-s&amp;eid=INC000002951588</t>
  </si>
  <si>
    <t>CER-DRP Oficina Virtual</t>
  </si>
  <si>
    <t>Adriana Chaverra</t>
  </si>
  <si>
    <t>Pendiente subir caso a SIDE</t>
  </si>
  <si>
    <t>Se entrego la propuesta a  el usuario lider</t>
  </si>
  <si>
    <t>13/07/2025 se realiza el cierre, nuevamente</t>
  </si>
  <si>
    <t>Inicio de pruebas 16/06/2025</t>
  </si>
  <si>
    <t>Maritza _Jonnatan</t>
  </si>
  <si>
    <t>Pendiente resolucion final del usuario para poder pasar a produccion
Comercial</t>
  </si>
  <si>
    <t>Pendiente entrega de versionamiento para realizar pruebas en Libranzas 2
Comercial, vinculacion</t>
  </si>
  <si>
    <t xml:space="preserve">Jonattan se reunira con el proveedro el dia 3 julio para las incosistencias, ( no deja vincular el usuario administrador inmoviliario)-Pendiente informacion de parte de jonnatan
</t>
  </si>
  <si>
    <t>Se crea sesión con Julio. El 873 ya se encuentra en producción y el 907 esta Pendiente instalación 907, eso lo trabajo con Julio para certificar. 2o. Paso de pruebas oes con Maritza.
(Instalar postman, para iniciar prevalidacion) Vortexdis
Armar plan de trabajo, con Miguel</t>
  </si>
  <si>
    <t>Pendiente Entrega desarrollo - 2/05/2025 . Esta asignado a Juan Carlos (Consultar con Ana, el seguimiento de este)</t>
  </si>
  <si>
    <t>Confirmar (16/07} en la tarde, que se va hacr con el caso</t>
  </si>
  <si>
    <t>Programar reunion con Miguel y Michael</t>
  </si>
  <si>
    <t>Proveedor informa que ya esta entregado</t>
  </si>
  <si>
    <t>Descripcion</t>
  </si>
  <si>
    <t>INC000004903795</t>
  </si>
  <si>
    <t>https://centrodegestiongecc.onbmc.com/arsys/servlet/ViewFormServlet?form=HPD%3AHelp+Desk&amp;server=onbmc-s&amp;eid=INC000002954408</t>
  </si>
  <si>
    <t>Consulta ORM Contabilidad Añadir Campos</t>
  </si>
  <si>
    <t>Juan Camilo Zuñiga Gomez</t>
  </si>
  <si>
    <t>INC0000049004551.Ajuste de RequerimientoPendiente subir caso a SIDE</t>
  </si>
  <si>
    <t>INC000004745802CanceladoAjuste</t>
  </si>
  <si>
    <t>INC000004884160En cursoDesarrollo</t>
  </si>
  <si>
    <t>INC000004795039CanceladoConsulta</t>
  </si>
  <si>
    <t>INC000004712103CanceladoConsulta</t>
  </si>
  <si>
    <t>INC000004750218FinalizadoConsulta</t>
  </si>
  <si>
    <t>INC000004739523FinalizadoConsulta</t>
  </si>
  <si>
    <t>INC000004787482En cursoDesarrollo</t>
  </si>
  <si>
    <t>INC000004763912En cursoDesarrollo</t>
  </si>
  <si>
    <t>INC000004763107FinalizadoDesarrollo</t>
  </si>
  <si>
    <t>INC000004781345FinalizadoDesarrollo</t>
  </si>
  <si>
    <t>INC000004816080En cursoDesarrollo</t>
  </si>
  <si>
    <t>INC000004868672En cursoDesarrollo</t>
  </si>
  <si>
    <t>INC000004657863FinalizadoDesarrollo</t>
  </si>
  <si>
    <t>INC000004874305En cursoDesarrollo</t>
  </si>
  <si>
    <t>INC000004782806En cursoDesarrollo</t>
  </si>
  <si>
    <t>INC000004703060CanceladoDesarrollo</t>
  </si>
  <si>
    <t>INC000004794247FinalizadoDesarrollo</t>
  </si>
  <si>
    <t>INC000004749773FinalizadoConsulta</t>
  </si>
  <si>
    <t>INC000004799051FinalizadoConsulta</t>
  </si>
  <si>
    <t>INC000004525864CanceladoAjuste</t>
  </si>
  <si>
    <t>INC000004695606CanceladoDesarrollo</t>
  </si>
  <si>
    <t>INC000004768321CanceladoDesarrollo</t>
  </si>
  <si>
    <t>INC000004769119CanceladoDesarrollo</t>
  </si>
  <si>
    <t>INC000004719491CanceladoDesarrollo</t>
  </si>
  <si>
    <t>INC000004745738FinalizadoConsulta</t>
  </si>
  <si>
    <t>INC000004784988FinalizadoConsulta</t>
  </si>
  <si>
    <t>INC000004743244FinalizadoConsulta</t>
  </si>
  <si>
    <t>INC000004765264FinalizadoConsulta</t>
  </si>
  <si>
    <t>INC000004786921FinalizadoDesarrollo</t>
  </si>
  <si>
    <t>INC000004757900En cursoConsulta</t>
  </si>
  <si>
    <t>INC000004724324CanceladoDesarrollo</t>
  </si>
  <si>
    <t>INC000004694879CanceladoDesarrollo</t>
  </si>
  <si>
    <t>INC000004760821FinalizadoDesarrollo</t>
  </si>
  <si>
    <t>INC000004841295En cursoDesarrollo</t>
  </si>
  <si>
    <t>INC000004756722CanceladoConsulta</t>
  </si>
  <si>
    <t>INC000004756169FinalizadoConsulta</t>
  </si>
  <si>
    <t>INC000004735726FinalizadoConsulta</t>
  </si>
  <si>
    <t>INC000004719450CanceladoDesarrollo</t>
  </si>
  <si>
    <t>INC000004698014En cursoDesarrollo</t>
  </si>
  <si>
    <t>INC000004442399En cursoDesarrollo</t>
  </si>
  <si>
    <t>INC000004703037En cursoDesarrollo</t>
  </si>
  <si>
    <t>INC000004800291En cursoDesarrollo</t>
  </si>
  <si>
    <t>INC000004826173En cursoConsulta</t>
  </si>
  <si>
    <t>INC000004098711FinalizadoDesarrollo</t>
  </si>
  <si>
    <t>INC000004751201FinalizadoDesarrollo</t>
  </si>
  <si>
    <t>INC000004776678En cursoDesarrollo</t>
  </si>
  <si>
    <t>INC000004678864En cursoDesarrollo</t>
  </si>
  <si>
    <t>INC000004778004CanceladoDesarrollo</t>
  </si>
  <si>
    <t>INC000004783347CanceladoDesarrollo</t>
  </si>
  <si>
    <t>INC000004788461FinalizadoDesarrollo</t>
  </si>
  <si>
    <t>INC000004788984CanceladoConsulta</t>
  </si>
  <si>
    <t>INC000004791623CanceladoDesarrollo</t>
  </si>
  <si>
    <t>INC000004691353En cursoDesarrollo</t>
  </si>
  <si>
    <t>INC000004801862CanceladoConsulta</t>
  </si>
  <si>
    <t>INC000004804646CanceladoConsulta</t>
  </si>
  <si>
    <t>INC000004775199En cursoDesarrollo</t>
  </si>
  <si>
    <t>INC000004809316FinalizadoConsulta</t>
  </si>
  <si>
    <t>INC000004818836FinalizadoConsulta</t>
  </si>
  <si>
    <t>INC000004818840FinalizadoConsulta</t>
  </si>
  <si>
    <t>INC000004819407FinalizadoConsulta</t>
  </si>
  <si>
    <t>INC000004820476FinalizadoConsulta</t>
  </si>
  <si>
    <t>INC000004820659En cursoDesarrollo</t>
  </si>
  <si>
    <t>INC000004520448En cursoDesarrollo</t>
  </si>
  <si>
    <t>INC000004486849En cursoDesarrollo</t>
  </si>
  <si>
    <t>INC000004694899FinalizadoDesarrollo</t>
  </si>
  <si>
    <t>INC000004480057En cursoDesarrollo</t>
  </si>
  <si>
    <t>INC000004821632CanceladoConsulta</t>
  </si>
  <si>
    <t>INC000004822702CanceladoSoporte</t>
  </si>
  <si>
    <t>INC000004834645CanceladoDesarrollo</t>
  </si>
  <si>
    <t>INC000004838433CanceladoConsulta</t>
  </si>
  <si>
    <t>INC000004296167En cursoDesarrollo</t>
  </si>
  <si>
    <t>INC000004857474CanceladoSoporte</t>
  </si>
  <si>
    <t>INC000004867777CanceladoDesarrollo</t>
  </si>
  <si>
    <t>INC000004868325CanceladoConsulta</t>
  </si>
  <si>
    <t>INC000004820935En cursoDesarrollo</t>
  </si>
  <si>
    <t>INC000004868798FinalizadoConsulta</t>
  </si>
  <si>
    <t>INC000004874254CanceladoSoporte</t>
  </si>
  <si>
    <t>INC000004824322En cursoDesarrollo</t>
  </si>
  <si>
    <t>INC000004827791FinalizadoConsulta</t>
  </si>
  <si>
    <t>INC000004887722En cursoDesarrollo</t>
  </si>
  <si>
    <t>INC000004888509En cursoDesarrollo</t>
  </si>
  <si>
    <t>INC000004893354En cursoDesarrollo</t>
  </si>
  <si>
    <t>INC000004894384En cursoDesarrollo</t>
  </si>
  <si>
    <t>INC000004900455En cursoDesarrollo</t>
  </si>
  <si>
    <t>INC000004903795CanceladoConsulta</t>
  </si>
  <si>
    <t xml:space="preserve">Reunion con Yolima el dia 18/07/2025
</t>
  </si>
  <si>
    <t>Buenas tardes
Me permito informarles que se ha asignado el requerimiento para el inicio del entendimiento a partir del 07 de julio. Quedamos atentos a cualquier comentario o retroalimentación que puedan tener al respecto.</t>
  </si>
  <si>
    <t>Poblacion de campos en sifi desde finansoft</t>
  </si>
  <si>
    <t>Eliminar una opcion de la lista desplegable de finansotf</t>
  </si>
  <si>
    <t>Solicitud de agenda con ronal</t>
  </si>
  <si>
    <t xml:space="preserve">Ajustar encabezados </t>
  </si>
  <si>
    <t>Programar retiros desde Finansoft</t>
  </si>
  <si>
    <t>Ya se puede dar por resuelto(esperando confirmacion de usuario)</t>
  </si>
  <si>
    <t>Pendiente por parte de analisis del proveedor</t>
  </si>
  <si>
    <t>en certificacion de escenarios</t>
  </si>
  <si>
    <t>14/07/2025 se realizara las pruebas de esto</t>
  </si>
  <si>
    <t>Se le pregunta al usuario si va presentar la propuesta al comited de compras</t>
  </si>
  <si>
    <t>Pendiente entrega de versionamiento para realizar pruebas en Libranzas 2
Comercial, vinculacion  (Julio Puerto realizo pruebas y encontro novedades se reporto por side al proveedor)</t>
  </si>
  <si>
    <t>se encuentra en analisis por el proveedor (Formato 284 actualizado en el SIDE), el usuario responde las preguntas del proveedor, se carga el documento al side</t>
  </si>
  <si>
    <t>Caso subido a la espera de respuesto del proveedor</t>
  </si>
  <si>
    <t>Pendiente respuesta del proveedor</t>
  </si>
  <si>
    <t xml:space="preserve">Inicio de cronograma de pruebas el dia 17/07/2025
</t>
  </si>
  <si>
    <t>El sistema debe generar automáticamente en el Formato 397 la línea 83714 (FVP consolidadora) y la línea hija 83719 cuando detecte una operación simultánea —es decir, una venta hoy y una recompra pactada en días (por ejemplo, vendes títulos hoy y los recompras en 3 días pagando la diferencia)— sin necesidad de ajustes manuales.</t>
  </si>
  <si>
    <t>Yollima Andrea Hurtado</t>
  </si>
  <si>
    <t>Reunion para el jueves,  17/07/2025</t>
  </si>
  <si>
    <t xml:space="preserve">Se solicito el estado con el proveedor
</t>
  </si>
  <si>
    <t>CONTADOR DE FALLAS PROVEEDOR</t>
  </si>
  <si>
    <t xml:space="preserve">Se pasa a Soporte, dado que el informe esta arrojando el numero de filas incorrecto
</t>
  </si>
  <si>
    <t xml:space="preserve">Se subio caso a proveedor pendiente respuesta del mismo 
</t>
  </si>
  <si>
    <t>Reunion programada, en espera de entrega de desarrollo</t>
  </si>
  <si>
    <t xml:space="preserve">Se solicta tiempo presencial con el proveedor 
</t>
  </si>
  <si>
    <t>Buenos días,
Dado que, según la retroalimentación recibida, las personas relacionadas en el caso han manifestado no tener vinculación con el desarrollo en cuestión, y teniendo en cuenta que el caso no cuenta con un usuario asignado para su gestión, se procederá con el cierre del mismo.</t>
  </si>
  <si>
    <t>INC000004894384CanceladoDesarrollo</t>
  </si>
  <si>
    <t xml:space="preserve">INC0000047639122.Reunión de entendimientoReunion con Yolima el dia 18/07/2025
</t>
  </si>
  <si>
    <t>INC0000048160802.Reunión de entendimientoBuenas tardes
Me permito informarles que se ha asignado el requerimiento para el inicio del entendimiento a partir del 07 de julio. Quedamos atentos a cualquier comentario o retroalimentación que puedan tener al respecto.</t>
  </si>
  <si>
    <t>INC0000048686722.Reunión de entendimientoSolicitud de agenda con ronal</t>
  </si>
  <si>
    <t>INC0000048743052.Reunión de entendimientoPendiente por parte de analisis del proveedor</t>
  </si>
  <si>
    <t>INC0000047579002.Reunión de entendimientoProgramar reunion con Miguel y Michael</t>
  </si>
  <si>
    <t>INC0000048412953.Propuesta ComercialConfirmar (16/07} en la tarde, que se va hacr con el caso</t>
  </si>
  <si>
    <t>INC0000048933543.Propuesta Comercialse encuentra en analisis por el proveedor (Formato 284 actualizado en el SIDE)</t>
  </si>
  <si>
    <t>INC0000046980145.Entrega DesarrolloPendiente Entrega desarrollo - 2/05/2025 . Esta asignado a Juan Carlos (Consultar con Ana, el seguimiento de este)</t>
  </si>
  <si>
    <t>INC0000047030375.Entrega DesarrolloProveedor informa que ya esta entregado</t>
  </si>
  <si>
    <t>INC0000048002915.Entrega DesarrolloSe entrego la propuesta a  el usuario lider</t>
  </si>
  <si>
    <t>INC0000048209355.Entrega DesarrolloPendiente entrega de la certificacion de pruebas parte de Sebastian Castro Valderrama - Homologacion esperar a Sarany llega 13 de julio</t>
  </si>
  <si>
    <t>INC0000046913537.Elaboración Escenarios de pruebaPendiente realizar pruebas por parte de Maritza (Depende de la terminar pruebas de movimientos perseverados )</t>
  </si>
  <si>
    <t xml:space="preserve">INC0000047751997.Elaboración Escenarios de pruebaJonattan se reunira con el proveedro el dia 3 julio para las incosistencias, ( no deja vincular el usuario administrador inmoviliario)-Pendiente informacion de parte de jonnatan
</t>
  </si>
  <si>
    <t>INC0000047766788.Certificación Escenarios PruebasSe crea sesión con Julio. El 873 ya se encuentra en producción y el 907 esta Pendiente instalación 907, eso lo trabajo con Julio para certificar. 2o. Paso de pruebas oes con Maritza.
(Instalar postman, para iniciar prevalidacion) Vortexdis
Armar plan de trabajo, con Miguel</t>
  </si>
  <si>
    <t>INC0000046788648.Certificación Escenarios PruebasPendiente entrega de versionamiento para realizar pruebas en Libranzas 2
Comercial, vinculacion</t>
  </si>
  <si>
    <t>INC0000048206598.Certificación Escenarios Pruebasen certificacion de escenarios</t>
  </si>
  <si>
    <t>INC0000045204488.Certificación Escenarios PruebasDesarrollo entregado pendiente por instalar</t>
  </si>
  <si>
    <t>INC0000044868498.Certificación Escenarios PruebasInicio de pruebas 16/06/2025</t>
  </si>
  <si>
    <t>INC0000044800578.Certificación Escenarios PruebasPendiente resolucion final del usuario para poder pasar a produccion
Comercial</t>
  </si>
  <si>
    <t>INC0000048243228.Certificación Escenarios Pruebas14/07/2025 se realizara las pruebas de esto</t>
  </si>
  <si>
    <t>INC0000048885098.Certificación Escenarios Pruebas13/07/2025 se realiza el cierre, nuevamente</t>
  </si>
  <si>
    <t>INC00000475616910.En ProducciónPendiente entrega Desarrollo</t>
  </si>
  <si>
    <t>INC00000409871110.En ProducciónSe confirma instalación en producción. Falta la validación por parte del equipo de riesgo financiero.</t>
  </si>
  <si>
    <t>INC00000475120110.En ProducciónSe certifica las pruebas - Pendiente paso a producción - Presenta errores el Script, en espera de ajuste-Se ajusta por 3 horas desarrollo-se crea side, pendiente validación proveeedor</t>
  </si>
  <si>
    <t>INC00000478846110.En ProducciónProveedor envía Número de instalación 915, y se envia a Miguel para instalar. Validando scripts con el proveedor. Se valida copn el proveedor, el proveedor esta validadndo con desarrollador, enviara script para validar. Se crea SIDE 60965 y se envía correo, se define espacio para comprehender mejor la solicitud. Al momento de diligenciar los número de fideicomiso genera error porque solo admite 5 digitos, y este año ya los nit van en 6 digitos, lo que esta pidiendo Viviana es que ampliens esto hasta 10 para evitar estos errores</t>
  </si>
  <si>
    <t>INC0000047243240_CanceladoPendiente presentación al comité de compras hasta el 4 de abril tiene plazo de enviar los docs al comité y el martes debe presentarse</t>
  </si>
  <si>
    <t>INC0000047194500_CanceladoPendiente Desarrollo, debería pasarse al área de Mejoramiento.</t>
  </si>
  <si>
    <t>INC0000048943840_CanceladoYa se puede dar por resuelto(esperando confirmacion de usuario)</t>
  </si>
  <si>
    <t>INC0000048384330_CanceladoReunion 13 junio</t>
  </si>
  <si>
    <t>INC0000048574740_CanceladoSegún la reunion con Sandra Bonilla no se requiere desarrollo solo se requiere  acceso al aplicativo se valido que este usuario ya tiene instalado ORM y tiene usuario</t>
  </si>
  <si>
    <t>INC0000049037950_Cancelado</t>
  </si>
  <si>
    <t xml:space="preserve">INC0000048412953.Propuesta ComercialSe solicta tiempo presencial con el proveedor 
</t>
  </si>
  <si>
    <t>INC0000048841601.Ajuste de RequerimientoPendiente respuesta del proveedor</t>
  </si>
  <si>
    <t>INC0000049004551.Ajuste de RequerimientoCaso subido a la espera de respuesto del proveedor</t>
  </si>
  <si>
    <t xml:space="preserve">INC0000047874822.Reunión de entendimientoSe subio caso a proveedor pendiente respuesta del mismo 
</t>
  </si>
  <si>
    <t>INC0000047639120_CanceladoBuenos días,
Dado que, según la retroalimentación recibida, las personas relacionadas en el caso han manifestado no tener vinculación con el desarrollo en cuestión, y teniendo en cuenta que el caso no cuenta con un usuario asignado para su gestión, se procederá con el cierre del mismo.</t>
  </si>
  <si>
    <t>INC0000048686722.Reunión de entendimientoReunion para el jueves,  17/07/2025</t>
  </si>
  <si>
    <t>INC0000047579005.Entrega DesarrolloReunion programada, en espera de entrega de desarrollo</t>
  </si>
  <si>
    <t xml:space="preserve">INC0000048877220_CanceladoSe pasa a Soporte, dado que el informe esta arrojando el numero de filas incorrecto
</t>
  </si>
  <si>
    <t xml:space="preserve">INC0000047828063.Propuesta ComercialSe solicito el estado con el proveedor
</t>
  </si>
  <si>
    <t>INC0000048933543.Propuesta Comercialse encuentra en analisis por el proveedor (Formato 284 actualizado en el SIDE), el usuario responde las preguntas del proveedor, se carga el documento al side</t>
  </si>
  <si>
    <t>INC0000048002915.Entrega DesarrolloSe le pregunta al usuario si va presentar la propuesta al comited de compras</t>
  </si>
  <si>
    <t xml:space="preserve">INC0000047751997.Elaboración Escenarios de pruebaInicio de cronograma de pruebas el dia 17/07/2025
</t>
  </si>
  <si>
    <t>INC0000046788648.Certificación Escenarios PruebasPendiente entrega de versionamiento para realizar pruebas en Libranzas 2
Comercial, vinculacion  (Julio Puerto realizo pruebas y encontro novedades se reporto por side al proveedor)</t>
  </si>
  <si>
    <t xml:space="preserve"> informe de cliente activo.</t>
  </si>
  <si>
    <t>AJUSTES DEL REPORTE DE PRODUCTOS UIAF PARA NEGOCIOS</t>
  </si>
  <si>
    <t xml:space="preserve"> log del envío de los extractos del FVP y FICs </t>
  </si>
  <si>
    <t>consulta de FIC</t>
  </si>
  <si>
    <t>Rendicion de cuentas</t>
  </si>
  <si>
    <t>ENCARGADO</t>
  </si>
  <si>
    <t xml:space="preserve">LUIS </t>
  </si>
  <si>
    <t>JONNATAN</t>
  </si>
  <si>
    <t>ok</t>
  </si>
  <si>
    <t>Pendiente definir reunion con los interesados</t>
  </si>
  <si>
    <t>proveedor solicita acceso a la base, pendiente contestar</t>
  </si>
  <si>
    <t xml:space="preserve">Pendiente respuesta del proveedor si se va realizar o no
</t>
  </si>
  <si>
    <t xml:space="preserve">Se cancela por que es de soporte </t>
  </si>
  <si>
    <t>Pendiente reunion el dia 23/07/2025  con miguel</t>
  </si>
  <si>
    <t xml:space="preserve">Inicio de pruebas 21/07/2025
</t>
  </si>
  <si>
    <t>A la espera de la certificacion</t>
  </si>
  <si>
    <t>pendiente parametrizacion del cierre</t>
  </si>
  <si>
    <t>Se esta ajustando en postman, pendiente de probar todos los servicios</t>
  </si>
  <si>
    <t>Instaldor entregado, pendiente por probar</t>
  </si>
  <si>
    <t>942-944-950-956-957-959</t>
  </si>
  <si>
    <t>/alidar que el link de pruebas, validar como se hace la generacion de la operación, programacion de levantamiento de escenarios de pruebas 31/07/2025</t>
  </si>
  <si>
    <t>Reunion con Jonnatan y Maritza</t>
  </si>
  <si>
    <t>4. Pte Comité Compras</t>
  </si>
  <si>
    <t xml:space="preserve">Esta pendiente por aprobacion de comitéd de compras, en manos de la usuaria </t>
  </si>
  <si>
    <t>916-941</t>
  </si>
  <si>
    <t>Esta pendiente por aprobacion de comitéd de compras, en manos de la usuaria</t>
  </si>
  <si>
    <t>24/07/2025 paso a produccion</t>
  </si>
  <si>
    <t>INC0000048933544. Pte Comité ComprasEsta pendiente por aprobacion de comitéd de compras, en manos de la usuaria</t>
  </si>
  <si>
    <t>INC0000048686722.Reunión de entendimientoPendiente definir reunion con los interesados</t>
  </si>
  <si>
    <t>INC0000048160803.Propuesta Comercialproveedor solicita acceso a la base, pendiente contestar</t>
  </si>
  <si>
    <t xml:space="preserve">INC0000047828063.Propuesta ComercialPendiente respuesta del proveedor si se va realizar o no
</t>
  </si>
  <si>
    <t>INC0000048209355.Entrega DesarrolloPendiente reunion el dia 23/07/2025  con miguel</t>
  </si>
  <si>
    <t>INC0000047030376.Instalación en Pruebas/alidar que el link de pruebas, validar como se hace la generacion de la operación, programacion de levantamiento de escenarios de pruebas 31/07/2025</t>
  </si>
  <si>
    <t>INC0000046913537.Elaboración Escenarios de pruebaReunion con Jonnatan y Maritza</t>
  </si>
  <si>
    <t xml:space="preserve">INC0000047751998.Certificación Escenarios PruebasInicio de pruebas 21/07/2025
</t>
  </si>
  <si>
    <t>INC0000047766788.Certificación Escenarios PruebasSe esta ajustando en postman, pendiente de probar todos los servicios</t>
  </si>
  <si>
    <t>INC0000046788648.Certificación Escenarios PruebasInstaldor entregado, pendiente por probar</t>
  </si>
  <si>
    <t>INC0000042961678.Certificación Escenarios PruebasA la espera de la certificacion</t>
  </si>
  <si>
    <t>INC0000048885098.Certificación Escenarios Pruebaspendiente parametrizacion del cierre</t>
  </si>
  <si>
    <t>INC00000482432210.En Producción24/07/2025 paso a produccion</t>
  </si>
  <si>
    <t>Caso subido a la espera de respuesto del proveedor-25/07/2025</t>
  </si>
  <si>
    <t>Pendiente reunion el dia 29/07/2025  con miguel-Sarany</t>
  </si>
  <si>
    <t xml:space="preserve">CERTIFICAR DESPUES DE RECUPERACION DE CONTRASEÑA-Validar que el link de pruebas, validar como se hace la generacion de la operación, programacion de levantamiento de escenarios de pruebas 31/07/2025 </t>
  </si>
  <si>
    <t>31/07/2025  reunion para certificar</t>
  </si>
  <si>
    <t>24/07/2025 SE ENVIARON NUEVOS AJUSTES AL PROVEEDOR</t>
  </si>
  <si>
    <t>A LA ESPERA DEL NUEVO INSTALADOR DEL PROVEEDOR</t>
  </si>
  <si>
    <t>que la OficinaVirtual incluya un botón para que los clientes descarguen en PDF su Documento Representativo de Participación (DRP) inmediatamente después de cada adición o constitución, sin depender del envío por RPA.</t>
  </si>
  <si>
    <t>Es para gestionar de forma automatizada los créditos u obligaciones financieras de la fiduciaria, cubriendo todo el ciclo: registro, cálculo de intereses, prepagos, reportes, conciliaciones e interfaces contables y de tesorería.</t>
  </si>
  <si>
    <t>Resumen breve: optimizar el proceso de generación de archivos XBRL evitando la carga manual y repetitiva de plantillas en cero que actualmente exige el sistema.
¿Para qué es? para agilizar y automatizar el envío de la información XBRL a la Superfinanciera, reduciendo trabajo manual y mejorando la eficiencia contable.</t>
  </si>
  <si>
    <t xml:space="preserve">crear usuarios </t>
  </si>
  <si>
    <t>perfiles</t>
  </si>
  <si>
    <t>clientes</t>
  </si>
  <si>
    <t>ID</t>
  </si>
  <si>
    <t>Cliente Existente</t>
  </si>
  <si>
    <t>Datos Actualizados</t>
  </si>
  <si>
    <t>Producto</t>
  </si>
  <si>
    <t>NO</t>
  </si>
  <si>
    <t>NA</t>
  </si>
  <si>
    <t>SI</t>
  </si>
  <si>
    <t>Matriz Fiduexpress -Validaciones</t>
  </si>
  <si>
    <t>Pendiente reunion presencial el 28/07/2025</t>
  </si>
  <si>
    <r>
      <t>889-917-</t>
    </r>
    <r>
      <rPr>
        <b/>
        <sz val="11"/>
        <color theme="1"/>
        <rFont val="Aptos Narrow"/>
        <family val="2"/>
        <scheme val="minor"/>
      </rPr>
      <t>962</t>
    </r>
    <r>
      <rPr>
        <sz val="11"/>
        <color theme="1"/>
        <rFont val="Aptos Narrow"/>
        <family val="2"/>
        <scheme val="minor"/>
      </rPr>
      <t>-</t>
    </r>
    <r>
      <rPr>
        <b/>
        <sz val="11"/>
        <color theme="1"/>
        <rFont val="Aptos Narrow"/>
        <family val="2"/>
        <scheme val="minor"/>
      </rPr>
      <t>965</t>
    </r>
  </si>
  <si>
    <t>17/6/25 10:24:07</t>
  </si>
  <si>
    <t>17/6/25 10:32:40</t>
  </si>
  <si>
    <t>25/6/25 12:34:13</t>
  </si>
  <si>
    <t>25/6/25 11:37:21</t>
  </si>
  <si>
    <t>25/6/25 14:47:01</t>
  </si>
  <si>
    <t>25/6/25 14:46:22</t>
  </si>
  <si>
    <t>15/7/25 09:02:12</t>
  </si>
  <si>
    <t>20/6/25 10:52:33</t>
  </si>
  <si>
    <t>18/6/25 08:34:23</t>
  </si>
  <si>
    <t>18/6/25 14:00:33</t>
  </si>
  <si>
    <t>21/7/25 10:35:44</t>
  </si>
  <si>
    <t>16/7/25 10:56:19</t>
  </si>
  <si>
    <t>INC000004919670</t>
  </si>
  <si>
    <t>Modelo Retiro Express FVP
Se requiere añadir el servicio de solictud de retiro de FVP, por express.</t>
  </si>
  <si>
    <t>28/7/25 09:51:30</t>
  </si>
  <si>
    <t>https://centrodegestiongecc.onbmc.com/arsys/servlet/ViewFormServlet?form=HPD%3AHelp+Desk&amp;server=onbmc-s&amp;eid=INC000002968218</t>
  </si>
  <si>
    <t>Pendiente Por Actualizar</t>
  </si>
  <si>
    <t>Modelo Retiro Express FVP</t>
  </si>
  <si>
    <t xml:space="preserve">25/07/2025 el proveedor confirma que no ha podido trabajar en el analisis, pero lo tiene presente para realizar el analisis
</t>
  </si>
  <si>
    <t>Añadir funcionalidad de retiro Express, para agilizar las solicitudes</t>
  </si>
  <si>
    <t>Interoperavilidad mostrar servicios de FVP en las APP Coomeva y Bancoomeva</t>
  </si>
  <si>
    <t>Incripcion de preatorizados y olvido de contraseña</t>
  </si>
  <si>
    <t>Alerta de no dejar grabar retiro si el cliente tiene estado de pendiente por confirmar</t>
  </si>
  <si>
    <t>Mejoras en los modelos de usu de las listas cautelares</t>
  </si>
  <si>
    <t>INC000004920437</t>
  </si>
  <si>
    <t>Tipo de solicitud Nuevo desarrollo o mejoras
Aplicación : Finansoft
Nombre de contacto: Maritza Forero
teléfono de contacto: 3184468254
describa su solicitud: Se solicita que cuando se marque a un cliente desde el modulo de clientes en Finansoft como exento de Rte Fte, replique ésta información en las cuentas del FVP en el módulo del FVP ya que actualmente lo que debemos hacer es levantar parámetros para que el pago se genere sin cobros.
Es algo similar a lo que se hizo con la marcación de los pensionados, que una vez se marquen con ésta condición replique en las cuentas del FVP.</t>
  </si>
  <si>
    <t>Asignado</t>
  </si>
  <si>
    <t>28/7/25 15:06:44</t>
  </si>
  <si>
    <t>https://centrodegestiongecc.onbmc.com/arsys/servlet/ViewFormServlet?form=HPD%3AHelp+Desk&amp;server=onbmc-s&amp;eid=INC000002968825</t>
  </si>
  <si>
    <t>Se solicita que cuando se marque a un cliente desde el modulo de clientes en Finansoft como exento de Rte Fte, replique ésta información en las cuentas del FVP en el módulo del FVP ya que actualmente lo que debemos hacer es levantar parámetros para que el pago se genere sin cobros.</t>
  </si>
  <si>
    <t>Aun esta pendiente ya que el servidor de pruebas no es accesible en este momento, apenas se puede tener acceso se estara informando la instalación (Miguel-28/07/2025)</t>
  </si>
  <si>
    <t>Pendiente levantar el requerimiento, reunion programada con Claudia y con Maritza</t>
  </si>
  <si>
    <t>Registro</t>
  </si>
  <si>
    <t>FECHA OBJETIVO CIERRE</t>
  </si>
  <si>
    <t>29/7/25 15:47:09</t>
  </si>
  <si>
    <t>INC000004921084</t>
  </si>
  <si>
    <t>https://centrodegestiongecc.onbmc.com/arsys/servlet/ViewFormServlet?form=HPD%3AHelp+Desk&amp;server=onbmc-s&amp;eid=INC000002969324</t>
  </si>
  <si>
    <t>al momento de grabar los preautorizados
Tipo de cuenta: debe ser obligatorio marcar ahorro o corriente
Cuenta : debe diligenciar el numero de la cuenta
Banco: debe seleccionar el banco</t>
  </si>
  <si>
    <t>Campos de obligatoriedad preautorizados en Finansoft modulo de clientes.</t>
  </si>
  <si>
    <t>Marcacion Cliente execento RTE FUENTE</t>
  </si>
  <si>
    <t>Proveedor  esta esperando la respuesta sobre el tema de como manejar las condiciones dado que las retenciones tienen un manejo normativo</t>
  </si>
  <si>
    <t>Error en el servidor. Maritza sale a vacaciones vuelve el dia. 25/08/2025</t>
  </si>
  <si>
    <t>El proveedor confirma que lo integrara en la version integrada (FT-084)-(Listas excepciones)- (Precargue fidecomisos).</t>
  </si>
  <si>
    <t>Fondos FVP</t>
  </si>
  <si>
    <t>No encontrado</t>
  </si>
  <si>
    <t>FECHA CORTE</t>
  </si>
  <si>
    <t>INC000004915063</t>
  </si>
  <si>
    <t>https://centrodegestiongecc.onbmc.com/arsys/servlet/ViewFormServlet?form=HPD%3AHelp+Desk&amp;server=onbmc-s&amp;eid=INC000002964117</t>
  </si>
  <si>
    <t>INC000004924201</t>
  </si>
  <si>
    <t>Camacho Moreno</t>
  </si>
  <si>
    <t>Brigit Sthephany</t>
  </si>
  <si>
    <t>Seleccione aplicación: SIFI
Solicitante : BSCM2743
Nombre de contacto: BRIGIT STHEPHANY CAMACHO MORENO
teléfono de contacto: 3173323815
describa su solicitud: AGRADECEMOS VALIDAR LA MACRO QUE SE ADJUNTA, EL CUAL NOS INFORMA LOS SALDOS QUE SE TIENEN EN SIFI, PERO EN LA CUENTA 82100005943 DE BANCOLOMBIA DEL PA FIDEICOMISO BANKAMODA (88337) INFORMA UN SALDO EN NEGATIVO Y VALIDANDO SIFI EL SALDO ESTA EN 0, POR LO CUAL SERIA NECESARIO VALIDAR LA MACRO PARA SABER DE DONDE ESTA TOMANDO LA INFORMACION.
QUEDO ATENTA.</t>
  </si>
  <si>
    <t>31/7/25 11:22:06</t>
  </si>
  <si>
    <t>https://centrodegestiongecc.onbmc.com/arsys/servlet/ViewFormServlet?form=HPD%3AHelp+Desk&amp;server=onbmc-s&amp;eid=INC000002971917</t>
  </si>
  <si>
    <t>INC000004924567</t>
  </si>
  <si>
    <t>Tipo de solicitud Nuevo desarrollo o mejoras
Aplicación : SIFI
Nombre de contacto: Maritza Forero
teléfono de contacto: 3184468254
describa su solicitud: Por favor solicito que a el log de envio de extractos de Fics se ajuste y muestre el numero de extractos enviados y si hay alguna interrupcion en la base del envio de dichos exctractos me muestre alguna alerta para la revision. Por favor asignar a Michael. Gracias..</t>
  </si>
  <si>
    <t>31/7/25 15:09:52</t>
  </si>
  <si>
    <t>https://centrodegestiongecc.onbmc.com/arsys/servlet/ViewFormServlet?form=HPD%3AHelp+Desk&amp;server=onbmc-s&amp;eid=INC000002972489</t>
  </si>
  <si>
    <t>INC000004925336</t>
  </si>
  <si>
    <t>https://centrodegestiongecc.onbmc.com/arsys/servlet/ViewFormServlet?form=HPD%3AHelp+Desk&amp;server=onbmc-s&amp;eid=INC000002973178</t>
  </si>
  <si>
    <t xml:space="preserve">Brian Balanta Idrobo  </t>
  </si>
  <si>
    <t>Ajustar texto en extractos FVP y FICs</t>
  </si>
  <si>
    <t>Ajustar lineas de atencion al consumidor</t>
  </si>
  <si>
    <t>Macro De saldos</t>
  </si>
  <si>
    <t>Macro que trae los saldos de SIFI, trae los saldos  de la cuenta  82100005943, un valor que no es el correcto</t>
  </si>
  <si>
    <t>BRIGIT STHEPHANY CAMACHO MORENO</t>
  </si>
  <si>
    <t>La va revisar Jeison</t>
  </si>
  <si>
    <t>log de envio de extractos</t>
  </si>
  <si>
    <t>Ajustar el log de envio de extractos de los FICs que muestre el numero de extractos enviados, y alertas si se interrumpio</t>
  </si>
  <si>
    <t>Agregar el campo Pensionado en la consulta de ORM</t>
  </si>
  <si>
    <t>a cargo de Michael</t>
  </si>
  <si>
    <t>Pendiente por revisar donde se guarda el campo de pensionado</t>
  </si>
  <si>
    <t>Parametrizar la pantalla GEMSPCXR de SIFI (configuración de estructuras y cuentas) para habilitar todas las estructuras 12‑17, permitir rangos que incluyen cuentas 39 y generar certificados patrimoniales individuales o masivos con la plantilla correcta de la fiduciaria.</t>
  </si>
  <si>
    <t>INC000004927050</t>
  </si>
  <si>
    <t>EL usuario informa que el caso fue atendido por ANA</t>
  </si>
  <si>
    <t>4/08/2025 entrega final</t>
  </si>
  <si>
    <t>Resuelto</t>
  </si>
  <si>
    <t>Gestione la solicitud</t>
  </si>
  <si>
    <t>INC000004927585</t>
  </si>
  <si>
    <t>Tipo de solicitud Nuevo desarrollo o mejoras
Aplicación : ORM
Nombre de contacto: JANNETH MAFLA PRIETO
teléfono de contacto: 3017687932
describa su solicitud: En cumplimiento de lo establecido en la Circular Externa 011 de 2022, Parte I, Título IV, Capítulo IV del Compendio de Normas de la Superintendencia Financiera de Colombia, la Fiduciaria tiene la obligación de verificar, previo y durante la relación contractual, que las personas naturales o jurídicas autorizadas para actuar, así como los miembros de Junta Directiva y órganos de administración o control de los fideicomitentes, beneficiarios, proveedores u otros terceros relacionados, no se encuentren incluidos en listas vinculantes (como ONU) o restrictivas (como OFAC, UE), ni en otras fuentes públicas o privadas que identifiquen riesgos asociados al Lavado de Activos, la Financiación del Terrorismo y la Financiación de la Proliferación de Armas de Destrucción Masiva (LA/FT/FPADM).
Dicha validación aplica tanto para los terceros autorizados expresamente en los negocios fiduciarios, como para los miembros de Junta Directiva o quienes ejerzan funciones de administración o representación legal, conforme a los principios de debida diligencia y conocimiento del cliente exigidos por el SARLAFT.</t>
  </si>
  <si>
    <t>https://centrodegestiongecc.onbmc.com/arsys/servlet/ViewFormServlet?form=HPD%3AHelp+Desk&amp;server=onbmc-s&amp;eid=INC000002975081</t>
  </si>
  <si>
    <t>Adición a la consulta 'otros relacionados', Autorizados y JD</t>
  </si>
  <si>
    <t>Ajuste Consulta de clientes Campo pensionado</t>
  </si>
  <si>
    <t xml:space="preserve">Pendiente instalacion de ajuste
</t>
  </si>
  <si>
    <t>8/08/2025 entreagado un instalador para preutorizados, pendiente los ajustes de contraseñas</t>
  </si>
  <si>
    <t>el usuario volvera a pasar el requerimiento con todos los campos - Se esta solicitando el scrip del bot con rpa. (Anderson)</t>
  </si>
  <si>
    <t>Pendiente reunion presencial aplazada en por usuario</t>
  </si>
  <si>
    <t>Servicios en postman instalados, pendiente probarlos</t>
  </si>
  <si>
    <t>Version Clienttes</t>
  </si>
  <si>
    <t>Versión 1.6.9H4</t>
  </si>
  <si>
    <t>Versión 1.3.6.3</t>
  </si>
  <si>
    <t>Fidecoomisos</t>
  </si>
  <si>
    <t>Marcacion Cliente excento RTE FUENTE</t>
  </si>
  <si>
    <t>QUMTZ7DoJQ</t>
  </si>
  <si>
    <t>ZIN7DVEGTf</t>
  </si>
  <si>
    <t>PRUORA23</t>
  </si>
  <si>
    <t>PRUORA21</t>
  </si>
  <si>
    <t xml:space="preserve">a la espera de la confirmacion en pruebas </t>
  </si>
  <si>
    <t>947-847-848-849-862-866-878-974</t>
  </si>
  <si>
    <t>Se requiere modificar el requerimiento para agregar los FIC</t>
  </si>
  <si>
    <t>DESCRIPCION</t>
  </si>
  <si>
    <t>MES FACTURA</t>
  </si>
  <si>
    <t>VALOR</t>
  </si>
  <si>
    <t>CENTRO DE COSTO</t>
  </si>
  <si>
    <t>CONTRATO DE SOPORTE</t>
  </si>
  <si>
    <t>Agosto </t>
  </si>
  <si>
    <t>2ER PAGO 30%Fiducoomeva_Propuesta_2089_Ajuste Formato 351 </t>
  </si>
  <si>
    <t>$          708.282</t>
  </si>
  <si>
    <t>9412 Dirección Contable</t>
  </si>
  <si>
    <t>OTROSI No. 2  Contrato Desarrollo FID 001 2023 /AC-FD0-00069</t>
  </si>
  <si>
    <t>1ER PAGO 30% Fiducoomeva_Propuesta_2133_Ajuste Log aceptación y recomendación. </t>
  </si>
  <si>
    <t>$      1.404.705</t>
  </si>
  <si>
    <t>1ER PAGO 30%Fiducoomeva_Propuesta_2136_Ajuste Clientes FTO 084 </t>
  </si>
  <si>
    <t>$          832.044 </t>
  </si>
  <si>
    <t>9415 unidad de cumplimiento</t>
  </si>
  <si>
    <t>1ER PAGO 30%Fiducoomeva_Propuesta_2141_Transacciones masivas FPV </t>
  </si>
  <si>
    <t>$    14.198.910</t>
  </si>
  <si>
    <t>3ER PAGO 30%Fiducoomeva_Propuesta_2096_Servicios FPV </t>
  </si>
  <si>
    <t>$      9.915.948</t>
  </si>
  <si>
    <t>9435 Gestíón de Tecnologia</t>
  </si>
  <si>
    <t>3NDO PAGO 40% Fiducoomeva_Propuesta_2080_Ajustes Portal transaccional y Fiduexpress </t>
  </si>
  <si>
    <t>$      6.563.413</t>
  </si>
  <si>
    <t>3NDO PAGO 40% Fiducoomeva_Propuesta_2112_Mejoras Portal Transaccional </t>
  </si>
  <si>
    <t>$      5.760.694</t>
  </si>
  <si>
    <t>9404 Dirección de Operaciones</t>
  </si>
  <si>
    <t>PAGAR</t>
  </si>
  <si>
    <t>NO PAGAR</t>
  </si>
  <si>
    <t>Miguel alfonso teuta calderon</t>
  </si>
  <si>
    <t>Se envia correo solicitando la explicacion de la parametrizacion, usuarios no envian respuesta positiva</t>
  </si>
  <si>
    <t>CERTIFICAR DESPUES DE RECUPERACION DE CONTRASEÑA-Validar que el link de pruebas, validar como se hace la generacion de la operación, programacion de levantamiento de escenarios de pruebas 31/07/2025</t>
  </si>
  <si>
    <t>a la espera de la confirmacion en pruebas</t>
  </si>
  <si>
    <t>Instalar</t>
  </si>
  <si>
    <t>Lbz 2 Portal</t>
  </si>
  <si>
    <t>INC0000049204371.Ajuste de Requerimiento</t>
  </si>
  <si>
    <t>INC0000049196701.Ajuste de RequerimientoPendiente levantar el requerimiento, reunion programada con Claudia y con Maritza</t>
  </si>
  <si>
    <t>INC0000049210841.Ajuste de Requerimiento</t>
  </si>
  <si>
    <t>INC0000049196704. Pte Comité ComprasSe requiere modificar el requerimiento para agregar los FIC</t>
  </si>
  <si>
    <t>INC0000049004551.Ajuste de Requerimientoel usuario volvera a pasar el requerimiento con todos los campos - Se esta solicitando el scrip del bot con rpa. (Anderson)</t>
  </si>
  <si>
    <t>INC0000049204371.Ajuste de RequerimientoProveedor  esta esperando la respuesta sobre el tema de como manejar las condiciones dado que las retenciones tienen un manejo normativo</t>
  </si>
  <si>
    <t xml:space="preserve">INC0000047828063.Propuesta Comercial25/07/2025 el proveedor confirma que no ha podido trabajar en el analisis, pero lo tiene presente para realizar el analisis
</t>
  </si>
  <si>
    <t>INC0000048412953.Propuesta ComercialPendiente reunion presencial aplazada en por usuario</t>
  </si>
  <si>
    <t>INC0000048209355.Entrega DesarrolloPendiente reunion el dia 29/07/2025  con miguel-Sarany</t>
  </si>
  <si>
    <t>INC0000045204486.Instalación en PruebasAun esta pendiente ya que el servidor de pruebas no es accesible en este momento, apenas se puede tener acceso se estara informando la instalación (Miguel-28/07/2025)</t>
  </si>
  <si>
    <t>INC0000047030376.Instalación en PruebasCERTIFICAR DESPUES DE RECUPERACION DE CONTRASEÑA-Validar que el link de pruebas, validar como se hace la generacion de la operación, programacion de levantamiento de escenarios de pruebas 31/07/2025</t>
  </si>
  <si>
    <t>INC0000046913537.Elaboración Escenarios de pruebaError en el servidor. Maritza sale a vacaciones vuelve el dia. 25/08/2025</t>
  </si>
  <si>
    <t>INC0000047766787.Elaboración Escenarios de pruebaServicios en postman instalados, pendiente probarlos</t>
  </si>
  <si>
    <t>INC0000046788648.Certificación Escenarios Pruebas8/08/2025 entreagado un instalador para preutorizados, pendiente los ajustes de contraseñas</t>
  </si>
  <si>
    <t xml:space="preserve">INC0000047751998.Certificación Escenarios PruebasPendiente instalacion de ajuste
</t>
  </si>
  <si>
    <t>INC0000044868498.Certificación Escenarios Pruebasa la espera de la confirmacion en pruebas</t>
  </si>
  <si>
    <t>INC0000044800578.Certificación Escenarios Pruebasa la espera de la confirmacion en pruebas</t>
  </si>
  <si>
    <t>INC0000048885098.Certificación Escenarios PruebasSe envia correo solicitando la explicacion de la parametrizacion, usuarios no envian respuesta positiva</t>
  </si>
  <si>
    <t>INC0000049004554. Pte Comité Comprasel usuario volvera a pasar el requerimiento con todos los campos - Se esta solicitando el scrip del bot con rpa. (Anderson)</t>
  </si>
  <si>
    <t>INC000004931942</t>
  </si>
  <si>
    <t>Tabima Chepe</t>
  </si>
  <si>
    <t>Daniela Lisbeth</t>
  </si>
  <si>
    <t>Seleccione aplicación: ORM
Solicitante : dltc7285
Nombre de contacto: Daniela Lisbeth Tabima Chepe
teléfono de contacto: 3226807553
describa su solicitud: solicit6o de su apoyo con la revision al momento de ejecutar una rendición de cuentas, ya que al momento me esta generando un error, adjunto evidencia.</t>
  </si>
  <si>
    <t>https://centrodegestiongecc.onbmc.com/arsys/servlet/ViewFormServlet?form=HPD%3AHelp+Desk&amp;server=onbmc-s&amp;eid=INC000002978876</t>
  </si>
  <si>
    <t>INC000004938938</t>
  </si>
  <si>
    <t>https://centrodegestiongecc.onbmc.com/arsys/servlet/ViewFormServlet?form=HPD%3AHelp+Desk&amp;server=onbmc-s&amp;eid=INC000002984864</t>
  </si>
  <si>
    <t>INC000004939219</t>
  </si>
  <si>
    <t>Tipo de solicitud Nuevo desarrollo o mejoras
Aplicación : Finansoft
Nombre de contacto: viviana erazo vasquez
teléfono de contacto: 3117799867
describa su solicitud: Se requiere que todos los clientes que se crean por Fiduexpress en el campo de clase de cliente quede No asociado a coomeva, adjunto pantallazo del campo en finnasoft.</t>
  </si>
  <si>
    <t>15/8/25 09:54:41</t>
  </si>
  <si>
    <t>https://centrodegestiongecc.onbmc.com/arsys/servlet/ViewFormServlet?form=HPD%3AHelp+Desk&amp;server=onbmc-s&amp;eid=INC000002985075</t>
  </si>
  <si>
    <t>error ORM</t>
  </si>
  <si>
    <t>QRY Pagos Liquidados_V4</t>
  </si>
  <si>
    <t>Clientes creados por Fiduexpress sin marcar como asociados</t>
  </si>
  <si>
    <t xml:space="preserve">Se programo reunion para el dia 20/08/2025
</t>
  </si>
  <si>
    <t>EXCEL -OBDC</t>
  </si>
  <si>
    <t>Fiducoomeva03*</t>
  </si>
  <si>
    <t xml:space="preserve">Se creo una consulta ORM para reemplazar el excel con OBDC
</t>
  </si>
  <si>
    <t xml:space="preserve">reunion </t>
  </si>
  <si>
    <t>25/8/25 09:55:28</t>
  </si>
  <si>
    <t>INC000004949269</t>
  </si>
  <si>
    <t>Tipo de solicitud Nuevo desarrollo o mejoras
Aplicación : Finansoft
Nombre de contacto: Evelyn Correa
teléfono de contacto: 301734925
describa su solicitud: Cargue de cuotas vencidas o en mora en el modulo de títulos y fideicomiso</t>
  </si>
  <si>
    <t>26/8/25 17:34:07</t>
  </si>
  <si>
    <t>https://centrodegestiongecc.onbmc.com/arsys/servlet/ViewFormServlet?form=HPD%3AHelp+Desk&amp;server=onbmc-s&amp;eid=INC000002993736</t>
  </si>
  <si>
    <t xml:space="preserve">Cargue de cuotas vencidas o en mora </t>
  </si>
  <si>
    <t>Negocios Fiduciarios</t>
  </si>
  <si>
    <t>Ya se ajusto el Query pendiente reunion 1/09/2025 para probar</t>
  </si>
  <si>
    <t xml:space="preserve">Pendiente respuesta del proveedor 1/09/2025 se solicito apoyo a Jonattan para acelerar </t>
  </si>
  <si>
    <t>Reunion 1/09/2025 con usuario y proveedor</t>
  </si>
  <si>
    <t>Pendiente aprovacion de Julio para pasarlo por horas soporte</t>
  </si>
  <si>
    <t>Usuario</t>
  </si>
  <si>
    <t>Password</t>
  </si>
  <si>
    <t>9 horas</t>
  </si>
  <si>
    <t>4 horas</t>
  </si>
  <si>
    <t>Horas soporte</t>
  </si>
  <si>
    <t>Requerimiento</t>
  </si>
  <si>
    <t>Proxima accion</t>
  </si>
  <si>
    <t>En espera de analisis</t>
  </si>
  <si>
    <t>En espera de analisis proveedor</t>
  </si>
  <si>
    <t>En espera autorizacion Director TI para desarrollar por horas soporte</t>
  </si>
  <si>
    <t>En analisis con el proveedor</t>
  </si>
  <si>
    <t>En espera de aprobacion del comitéd de compras</t>
  </si>
  <si>
    <t>Miguel ya esta trabajando en el Query, reunion 4/09/2025 con usuarios para validar dudas</t>
  </si>
  <si>
    <t>En espera de instalar en ambiente de pruebas</t>
  </si>
  <si>
    <t>Instalado en ambiente de pruebas libranzas 2, en espera de iniciar levantamiento de escenarios</t>
  </si>
  <si>
    <t>Reunion Hoy 3/09/2025 11:00 am para validar el QUERY con Adriana</t>
  </si>
  <si>
    <t>Reunion Hoy 3/09/2025 9:00 am con Jorge y Maritza (Levantamiento de escenarios)</t>
  </si>
  <si>
    <t>Reunion 4/09/2025 para levantamiento de escenarios</t>
  </si>
  <si>
    <t>Se enviaron los cambios de Cambio de contraseña a ingesoft. Se esta esperando el ajuste de preautorizados.</t>
  </si>
  <si>
    <t>En espera de entrega de los ajustes de parte de ingesft, reunion de certificacion segunda parte hoy a las 10am</t>
  </si>
  <si>
    <t>se entregarlos los archivos a ingesoft para que haga las validaciones de la ley 1527</t>
  </si>
  <si>
    <t>se esta corriendo la valoracion para que los usuarios puedan continuar con las pruebas</t>
  </si>
  <si>
    <t>Se envo Query al proveedor Pendiente por parte de ellos enviar propuesta</t>
  </si>
  <si>
    <t xml:space="preserve">Reunion de entendimiento con el proveedor 8/09/2025 </t>
  </si>
  <si>
    <t>Pendiente programar reunion con Director TI, para definir como realizar las pruebas</t>
  </si>
  <si>
    <t>Certificados 3 servicios pendiente programar reunion para continuar con el resto</t>
  </si>
  <si>
    <t>Maritza esta realizando la certificacion</t>
  </si>
  <si>
    <t>En espera de ajustes de cambios de contraseña, Preautorizados reunion hoy con Jlondoño y Miguel para corregir errores</t>
  </si>
  <si>
    <t>Se definio los requerimientos, Miguel esta trabajando en el Query</t>
  </si>
  <si>
    <t>Ajustes entregados, se continua 8/09/2025 con la certificacion</t>
  </si>
  <si>
    <t>se cambio encargado de pruebas de Juan Camili a Karen Bonilla, se esta a la espera de la ejecucion por parte de ella</t>
  </si>
  <si>
    <t>Proveedor valido que no hay novedad con la alerta ley 1527, estamos a la espera del usuario confirme el paso a podruccion</t>
  </si>
  <si>
    <t>-</t>
  </si>
  <si>
    <t>Fecha Control</t>
  </si>
  <si>
    <t>INC000004956282</t>
  </si>
  <si>
    <t>Diruggiero Freire</t>
  </si>
  <si>
    <t>William Andres</t>
  </si>
  <si>
    <t>Tipo de solicitud Nuevo desarrollo o mejoras
Aplicación : SIFI
Nombre de contacto: William Diruggiero Freire
teléfono de contacto: 3114159027
describa su solicitud: Se requiere ajustar el archivo 2 del reporte de negocios fiduciarios que se realiza a la UIAF y actualmente es generado en la plataforma SIFOS, se identificaron inconsistencias las cuales están descritas en el documento adjunto:</t>
  </si>
  <si>
    <t>https://centrodegestiongecc.onbmc.com/arsys/servlet/ViewFormServlet?form=HPD%3AHelp+Desk&amp;server=onbmc-s&amp;eid=INC000003000004</t>
  </si>
  <si>
    <t>INC000004956888</t>
  </si>
  <si>
    <t>Tipo de solicitud Nuevo desarrollo o mejoras
Aplicación : Finansoft
Nombre de contacto: Maritza Forero
teléfono de contacto: 3184468254
describa su solicitud: Solicito por favor se creen los logs de correos enviados a los clientes de los certificados tributarios que se generan cada año y crear un control o reporte asi como el que se tiene con los extractos para validar dicho envío. Por favor asignar a Michael.
Gracias…</t>
  </si>
  <si>
    <t>https://centrodegestiongecc.onbmc.com/arsys/servlet/ViewFormServlet?form=HPD%3AHelp+Desk&amp;server=onbmc-s&amp;eid=INC000003000492</t>
  </si>
  <si>
    <t>INC000004958354</t>
  </si>
  <si>
    <t>Ruiz Aguirre</t>
  </si>
  <si>
    <t>Maria Camila</t>
  </si>
  <si>
    <t>Tipo de solicitud Nuevo desarrollo o mejoras
Aplicación : Métrica
Nombre de contacto: Maria Camila Ruiz
teléfono de contacto: 3158060306
describa su solicitud: Automatización proceso Elaboración del formato 524 REPORTE DE INGRESOS PERCIBIDOS POR COMISIONES</t>
  </si>
  <si>
    <t>https://centrodegestiongecc.onbmc.com/arsys/servlet/ViewFormServlet?form=HPD%3AHelp+Desk&amp;server=onbmc-s&amp;eid=INC000003001691</t>
  </si>
  <si>
    <t xml:space="preserve">AJUSTES AL REPORTE DE PRODUCTOS OFRECIDOS ARCHIVO 2 NEGOCIOS FIUDICIARIOS - UIAF </t>
  </si>
  <si>
    <t>William Diruggiero</t>
  </si>
  <si>
    <t>ajustar y depurar el reporte para que incluya solo los productos vigentes, correctos y con el código oficial de la SFC.</t>
  </si>
  <si>
    <t>Mejora Logs envíos de Certificados tributarios</t>
  </si>
  <si>
    <t>Maria Camila Ruiz</t>
  </si>
  <si>
    <t>Formato 524 REPORTE DE INGRESOS PERCIBIDOS POR COMISIONES</t>
  </si>
  <si>
    <t>Buenos días,
De acuerdo con la revisión realizada a la consulta de saldos, se encontró que la consulta está correcta. Lo evidenciado es que esta muestra un mayor nivel de detalle frente a lo que presenta el aplicativo SIFI.
En la consulta se identificaron dos registros con la misma información, pero con valores opuestos en el campo SALDO_SIFI:
ENTI_BANC   SALB_CIAS   SALB_FECDOC         AUXI_NIT       SALDO_SIFI
7           88337       31/07/2025 0:00     82100005943    (607.743)
7           88337       31/07/2025 0:00     82100005943     607.743
Al consolidarlos, el resultado que se obtiene corresponde al presentado en SIFI, es decir, 0.
ENTI_BANC
SALB_CIAS
SALB_FECDOC
AUXI_NIT
SALDO_SIFI
7
88337
31/07/2025 0:00
82100005943
                  (607.743)
7
88337
31/07/2025 0:00
82100005943
                     607.743
7
88337
31/07/2025 0:00
82902115419
                     406.695</t>
  </si>
  <si>
    <t>Caso atendido por Michael C. se deja evidencia de la entrega</t>
  </si>
  <si>
    <t>Se explico a la usuario que los datos de origen no coincidian con lo esperado por la consulta por lo cual el error no es de la consulta sino de los datos de origen</t>
  </si>
  <si>
    <t>INC000004961791</t>
  </si>
  <si>
    <t>Seleccione aplicación: CANALES VIRTUALES(FPV, BM, OV)
Solicitante : mffp7556
Nombre de contacto: Maritza Fernanda Forero Parra
teléfono de contacto: 3184468254
describa su solicitud: Solicito por favor nos ayuden con la mejora en Fidupay, en las opciones de retiros y cancelaciones para que las operaciones que queden por fuera del horario establecido por la Fiduciaria se ejecuten de manera automática y no se deba realizar de manera manual.
Ejemplo: Operaciones que realicen a las 6 de la mañana el sistema no las está tomando para ejecutar automáticamente.</t>
  </si>
  <si>
    <t>https://centrodegestiongecc.onbmc.com/arsys/servlet/ViewFormServlet?form=HPD%3AHelp+Desk&amp;server=onbmc-s&amp;eid=INC000003004680</t>
  </si>
  <si>
    <t>INC000004961835</t>
  </si>
  <si>
    <t>Rodriguez Echeverry</t>
  </si>
  <si>
    <t>Juan Diego</t>
  </si>
  <si>
    <t>Seleccione aplicación: ORM
Solicitante : JDRE8343
Nombre de contacto: JUAN DIEGO RODRIGUEZ
teléfono de contacto: 3182218472
describa su solicitud: Se intento generar rendición de cuentas atreves de ORM del PA CREDIVALORES 108217 y genero error, se ha intentado en varias ocasiones, pero persiste el problema.</t>
  </si>
  <si>
    <t>https://centrodegestiongecc.onbmc.com/arsys/servlet/ViewFormServlet?form=HPD%3AHelp+Desk&amp;server=onbmc-s&amp;eid=INC000003004555</t>
  </si>
  <si>
    <t>INC000004962074</t>
  </si>
  <si>
    <t>Tipo de solicitud Nuevo desarrollo o mejoras
Aplicación : Finansoft
Nombre de contacto: Maritza Forero
teléfono de contacto: 3184468254
describa su solicitud: Solicito por favor nos ayuden con la mejora en el archivo de control para que se incluya un campo de tipo de retiro en el FVP para que sea validado con lo grabado en Finansoft.</t>
  </si>
  <si>
    <t>Dentro del Objetivo de servicio</t>
  </si>
  <si>
    <t>https://centrodegestiongecc.onbmc.com/arsys/servlet/ViewFormServlet?form=HPD%3AHelp+Desk&amp;server=onbmc-s&amp;eid=INC000003005074</t>
  </si>
  <si>
    <t>INC000004962132</t>
  </si>
  <si>
    <t>Murillo Banguera</t>
  </si>
  <si>
    <t>Luisa Fernanda</t>
  </si>
  <si>
    <t>Tipo de solicitud Nuevo desarrollo o mejoras
Aplicación : SIFI
Nombre de contacto: LUISA FERNANDA MURILLO BANGUERA
teléfono de contacto: 3167922190
describa su solicitud: Se solicita validar la lógica actual del sistema en los casos de desistimientos antes del punto de equilibrio, específicamente cuando el desistimiento incluye sanción. Actualmente, el sistema está generando ambos giros (titular y constructora) como exentos, lo cual no corresponde a la normativa.
En estos casos, el giro correspondiente a la constructora representa la sanción y, por lo tanto, debería ser tratado como gravado, no exento.</t>
  </si>
  <si>
    <t>https://centrodegestiongecc.onbmc.com/arsys/servlet/ViewFormServlet?form=HPD%3AHelp+Desk&amp;server=onbmc-s&amp;eid=INC000003004897</t>
  </si>
  <si>
    <t>comited de compras</t>
  </si>
  <si>
    <t>Solicitud Nuevos desarrollos y orden de servicios</t>
  </si>
  <si>
    <t>Se crea remedy para legalización de proyecto para Vinculación Inmobiliaria</t>
  </si>
  <si>
    <t>Soporte TI Fiducoomeva Nivel 2</t>
  </si>
  <si>
    <t>Cordial saludo.,
Nos encontramos en fase de parametrización y pruebas en ambiente de pruebas.</t>
  </si>
  <si>
    <t>https://centrodegestiongecc.onbmc.com/arsys/servlet/ViewFormServlet?form=HPD%3AHelp+Desk&amp;server=onbmc-s&amp;eid=INC000002839946</t>
  </si>
  <si>
    <t>INC000004837041</t>
  </si>
  <si>
    <t>Tipo de solicitud Nuevo desarrollo o mejoras
Aplicación : Finansoft
Nombre de contacto: Maritza Forero
teléfono de contacto: 3184468254
describa su solicitud: Se adjunta archivo con la solicitud del requerimiento para los retiros masivos en el FVP, recomposiciones masivas, cargue de preautorizados masivos. Proyecto Perseverados. Gracias</t>
  </si>
  <si>
    <t>Cordial saludo.,
Se genera sesión de entendimiento por el proveedor para el día Miércoles 28 Mayo/25 para el validar el impacto del requerimiento.</t>
  </si>
  <si>
    <t>https://centrodegestiongecc.onbmc.com/arsys/servlet/ViewFormServlet?form=HPD%3AHelp+Desk&amp;server=onbmc-s&amp;eid=INC000002895260</t>
  </si>
  <si>
    <t>INC000004839045</t>
  </si>
  <si>
    <t>Tipo de solicitud Nuevo desarrollo o mejoras
Aplicación : Finansoft
Nombre de contacto: JANNETH MAFLA PRIETO
teléfono de contacto: 3017687932
describa su solicitud: Identificación Familiar PEP:
Incluir en el sistema la siguiente sección del formato 084 para PJ la sección de Identificación Familiar PEP.</t>
  </si>
  <si>
    <t>13/5/25 16:49:00</t>
  </si>
  <si>
    <t>28/5/25 09:29:35</t>
  </si>
  <si>
    <t>Cordial saludo.,
Se confirma que el proyecto fue autorizado por parte del comité de compras y la gerencia de la Fiduciaria. Motivo por el cual la fecha de entrega por parte del proveedor para este desarrollo tiene como fecha tentativa el 04 Junio/25.</t>
  </si>
  <si>
    <t>https://centrodegestiongecc.onbmc.com/arsys/servlet/ViewFormServlet?form=HPD%3AHelp+Desk&amp;server=onbmc-s&amp;eid=INC000002897057</t>
  </si>
  <si>
    <t>INC000004866500</t>
  </si>
  <si>
    <t>Tipo de solicitud Nuevo desarrollo o mejoras
Aplicación : Finansoft
Nombre de contacto: janneth mafla prieto
teléfono de contacto: 3017687932
describa su solicitud: Formulario digital “Campos complementarios al conocimiento del cliente” (FD-FT-084), el cual estará disponible en el portal transaccional de vinculación digital asistida.</t>
  </si>
  <si>
    <t>https://centrodegestiongecc.onbmc.com/arsys/servlet/ViewFormServlet?form=HPD%3AHelp+Desk&amp;server=onbmc-s&amp;eid=INC000002921745</t>
  </si>
  <si>
    <t>INC000004917413</t>
  </si>
  <si>
    <t>Mora Bolaños</t>
  </si>
  <si>
    <t>Eduardo</t>
  </si>
  <si>
    <t>Tipo de solicitud Nuevo desarrollo o mejoras
Aplicación : SIFI
Nombre de contacto: Eduardo Mora Bolaños
teléfono de contacto: 3113580944
describa su solicitud: Actualmente la Fiduciaria Coomeva cuenta con negocios que tienen dentro de su operación, el manejo de derivados de cobertura, estos derivados se constituyen se liquidan y controlan manualmente a través del aplicativo Excel (hojas  electrónicas y macro) pero ante el incremento de estos derivados en los negocios, la parte operativa se volvió dispendiosa además de riesgosa debido a la naturaleza de esta cobertura, ante esta necesidad, se realiza el siguiente requerimiento desde las áreas implicadas en el manejo operativo, registro contable y trasmisión a la superintendencia financiera, que consiste en una alternativa tecnológica que soporte lo anteriormente descrito, por lo anterior, se requiere que el aplicativo SIFI permita cargar al sistema los Forward Non Delivery que actualmente se manejan y administran y que a su vez también el sistema permita a futuro, el cargue masivo de nuevos Forward Non Delivery, esto para permitir automatizar, tanto el registro contable y trasmisión a la superfinanciera por parte del área contable, así como el manejo y control por parte de la mesa de inversiones.</t>
  </si>
  <si>
    <t>24/7/25 16:51:34</t>
  </si>
  <si>
    <t>25/7/25 07:18:55</t>
  </si>
  <si>
    <t>https://centrodegestiongecc.onbmc.com/arsys/servlet/ViewFormServlet?form=HPD%3AHelp+Desk&amp;server=onbmc-s&amp;eid=INC000002966109</t>
  </si>
  <si>
    <t>Mejora para que de manera automática se ejecuten las operaciones por fuera de horario realizadas por el portal.</t>
  </si>
  <si>
    <t>ORM del PA CREDIVALORES 108217</t>
  </si>
  <si>
    <t>UAN DIEGO RODRIGUEZ</t>
  </si>
  <si>
    <t>Mejora en el archivo de control para que se incluya un campo de tipo de retiro en el FVP.</t>
  </si>
  <si>
    <t xml:space="preserve">DESISTIMIENTO ANTES DEL PUNTO DE EQUILIBRIO </t>
  </si>
  <si>
    <t>LUISA FERNANDA MURILLO BANGUERA</t>
  </si>
  <si>
    <t>11.Para mejoramiento</t>
  </si>
  <si>
    <t>Buenos días.
El caso fue trasladado al área de Aseguramiento y Mejora, por lo cual se dará por cerrado el caso , el seguimiento y la asignación de prioridad. Esto lo pueden validar directamente con Michael Carvajal.
Saludos,</t>
  </si>
  <si>
    <t>10 sep. 2025 12:31</t>
  </si>
  <si>
    <t>Fiducoomeva210*</t>
  </si>
  <si>
    <t>En espera del Formato 284</t>
  </si>
  <si>
    <t>Miguel esta desarrollando el Query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</si>
</sst>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43" formatCode="_-* #,##0.00_-;\-* #,##0.00_-;_-* &quot;-&quot;??_-;_-@_-"/>
    <numFmt numFmtId="164" formatCode="_-* #,##0_-;\-* #,##0_-;_-* &quot;-&quot;??_-;_-@_-"/>
    <numFmt numFmtId="165" formatCode="0_ ;[Red]\-0\ "/>
  </numFmts>
  <fonts count="30" x14ac:knownFonts="1">
    <font>
      <sz val="11"/>
      <color theme="1"/>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b/>
      <sz val="11"/>
      <color theme="0" tint="-4.9989318521683403E-2"/>
      <name val="Aptos Narrow"/>
      <family val="2"/>
      <scheme val="minor"/>
    </font>
    <font>
      <sz val="11"/>
      <name val="Aptos Narrow"/>
      <family val="2"/>
      <scheme val="minor"/>
    </font>
    <font>
      <b/>
      <sz val="11"/>
      <name val="Aptos Narrow"/>
      <family val="2"/>
      <scheme val="minor"/>
    </font>
    <font>
      <sz val="11"/>
      <color theme="3" tint="0.59999389629810485"/>
      <name val="Aptos Narrow"/>
      <family val="2"/>
      <scheme val="minor"/>
    </font>
    <font>
      <sz val="11"/>
      <color rgb="FF00B050"/>
      <name val="Aptos Narrow"/>
      <family val="2"/>
      <scheme val="minor"/>
    </font>
    <font>
      <b/>
      <sz val="10"/>
      <color indexed="9"/>
      <name val="Arial"/>
    </font>
    <font>
      <sz val="10"/>
      <color indexed="12"/>
      <name val="Arial"/>
    </font>
    <font>
      <u/>
      <sz val="11"/>
      <color theme="10"/>
      <name val="Aptos Narrow"/>
      <family val="2"/>
      <scheme val="minor"/>
    </font>
    <font>
      <sz val="12"/>
      <color theme="1"/>
      <name val="Aptos Narrow"/>
      <family val="2"/>
      <scheme val="minor"/>
    </font>
    <font>
      <i/>
      <sz val="11"/>
      <color theme="1"/>
      <name val="Calibri"/>
      <family val="2"/>
    </font>
    <font>
      <b/>
      <sz val="10"/>
      <color indexed="9"/>
      <name val="Arial"/>
      <family val="2"/>
    </font>
    <font>
      <u/>
      <sz val="10"/>
      <color indexed="12"/>
      <name val="Arial"/>
    </font>
    <font>
      <sz val="10"/>
      <color indexed="8"/>
      <name val="Arial"/>
    </font>
    <font>
      <sz val="11"/>
      <color rgb="FF242424"/>
      <name val="Aptos"/>
      <family val="2"/>
    </font>
    <font>
      <sz val="11"/>
      <color rgb="FF000000"/>
      <name val="Aptos Narrow"/>
      <family val="2"/>
    </font>
    <font>
      <b/>
      <sz val="11"/>
      <color theme="0"/>
      <name val="Aptos Narrow"/>
      <family val="2"/>
    </font>
    <font>
      <sz val="12"/>
      <color rgb="FF000000"/>
      <name val="Aptos"/>
      <family val="2"/>
    </font>
    <font>
      <b/>
      <sz val="12"/>
      <color rgb="FF000000"/>
      <name val="Aptos"/>
      <family val="2"/>
    </font>
    <font>
      <b/>
      <sz val="11"/>
      <color theme="0"/>
      <name val="Aptos Narrow"/>
      <family val="2"/>
      <scheme val="minor"/>
    </font>
    <font>
      <b/>
      <sz val="12"/>
      <color theme="1"/>
      <name val="Aptos Narrow"/>
      <family val="2"/>
      <scheme val="minor"/>
    </font>
    <font>
      <sz val="8"/>
      <name val="Aptos Narrow"/>
      <family val="2"/>
      <scheme val="minor"/>
    </font>
    <font>
      <sz val="11"/>
      <color rgb="FF000000"/>
      <name val="Verdana"/>
      <family val="2"/>
    </font>
    <font>
      <sz val="11"/>
      <color theme="1"/>
      <name val="Segoe UI"/>
      <family val="2"/>
    </font>
    <font>
      <b/>
      <sz val="11"/>
      <color rgb="FFFF0000"/>
      <name val="Arial"/>
      <family val="2"/>
    </font>
    <font>
      <sz val="9"/>
      <color rgb="FFB12923"/>
      <name val="Arial"/>
      <family val="2"/>
    </font>
    <font>
      <sz val="10"/>
      <color indexed="8"/>
      <name val="Arial"/>
      <family val="2"/>
    </font>
  </fonts>
  <fills count="21">
    <fill>
      <patternFill patternType="none"/>
    </fill>
    <fill>
      <patternFill patternType="gray125"/>
    </fill>
    <fill>
      <patternFill patternType="solid">
        <fgColor rgb="FFD62426"/>
        <bgColor indexed="64"/>
      </patternFill>
    </fill>
    <fill>
      <patternFill patternType="solid">
        <fgColor rgb="FF004E8C"/>
        <bgColor indexed="64"/>
      </patternFill>
    </fill>
    <fill>
      <patternFill patternType="solid">
        <fgColor rgb="FFECEAEC"/>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499984740745262"/>
        <bgColor indexed="64"/>
      </patternFill>
    </fill>
    <fill>
      <patternFill patternType="solid">
        <fgColor rgb="FF2EF25D"/>
        <bgColor indexed="64"/>
      </patternFill>
    </fill>
    <fill>
      <patternFill patternType="solid">
        <fgColor rgb="FFCCFFE5"/>
        <bgColor indexed="64"/>
      </patternFill>
    </fill>
    <fill>
      <patternFill patternType="solid">
        <fgColor rgb="FFFFE5CC"/>
        <bgColor indexed="64"/>
      </patternFill>
    </fill>
    <fill>
      <patternFill patternType="solid">
        <fgColor rgb="FFC00000"/>
        <bgColor indexed="64"/>
      </patternFill>
    </fill>
    <fill>
      <patternFill patternType="solid">
        <fgColor theme="2"/>
        <bgColor theme="4" tint="0.79998168889431442"/>
      </patternFill>
    </fill>
    <fill>
      <patternFill patternType="solid">
        <fgColor theme="2"/>
        <bgColor indexed="64"/>
      </patternFill>
    </fill>
    <fill>
      <patternFill patternType="solid">
        <fgColor theme="0" tint="-0.14999847407452621"/>
        <bgColor theme="0" tint="-0.14999847407452621"/>
      </patternFill>
    </fill>
    <fill>
      <patternFill patternType="solid">
        <fgColor theme="9"/>
        <bgColor theme="9"/>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theme="0" tint="-0.249977111117893"/>
        <bgColor indexed="64"/>
      </patternFill>
    </fill>
  </fills>
  <borders count="44">
    <border>
      <left/>
      <right/>
      <top/>
      <bottom/>
      <diagonal/>
    </border>
    <border>
      <left style="thin">
        <color theme="0" tint="-0.14993743705557422"/>
      </left>
      <right/>
      <top/>
      <bottom/>
      <diagonal/>
    </border>
    <border>
      <left/>
      <right style="thin">
        <color theme="0" tint="-0.14993743705557422"/>
      </right>
      <top/>
      <bottom/>
      <diagonal/>
    </border>
    <border>
      <left style="thin">
        <color indexed="64"/>
      </left>
      <right style="thin">
        <color indexed="64"/>
      </right>
      <top style="thin">
        <color indexed="64"/>
      </top>
      <bottom style="thin">
        <color indexed="64"/>
      </bottom>
      <diagonal/>
    </border>
    <border>
      <left style="thin">
        <color theme="0" tint="-0.14993743705557422"/>
      </left>
      <right style="thin">
        <color theme="0" tint="-0.14993743705557422"/>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indexed="64"/>
      </left>
      <right style="medium">
        <color indexed="64"/>
      </right>
      <top/>
      <bottom style="medium">
        <color indexed="64"/>
      </bottom>
      <diagonal/>
    </border>
    <border>
      <left style="medium">
        <color rgb="FF000000"/>
      </left>
      <right style="medium">
        <color indexed="64"/>
      </right>
      <top style="medium">
        <color indexed="64"/>
      </top>
      <bottom/>
      <diagonal/>
    </border>
    <border>
      <left style="medium">
        <color rgb="FF000000"/>
      </left>
      <right style="medium">
        <color indexed="64"/>
      </right>
      <top/>
      <bottom style="medium">
        <color indexed="64"/>
      </bottom>
      <diagonal/>
    </border>
    <border>
      <left style="thin">
        <color indexed="64"/>
      </left>
      <right style="thin">
        <color indexed="64"/>
      </right>
      <top style="thin">
        <color indexed="64"/>
      </top>
      <bottom style="thin">
        <color theme="0" tint="-0.14993743705557422"/>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0" tint="-0.14993743705557422"/>
      </left>
      <right style="thin">
        <color theme="0" tint="-0.14993743705557422"/>
      </right>
      <top/>
      <bottom style="thin">
        <color theme="0" tint="-0.14993743705557422"/>
      </bottom>
      <diagonal/>
    </border>
    <border>
      <left/>
      <right/>
      <top style="thin">
        <color theme="4" tint="0.39997558519241921"/>
      </top>
      <bottom style="thin">
        <color theme="4" tint="0.39997558519241921"/>
      </bottom>
      <diagonal/>
    </border>
    <border>
      <left style="thin">
        <color theme="0" tint="-0.14993743705557422"/>
      </left>
      <right style="thin">
        <color theme="0" tint="-0.14993743705557422"/>
      </right>
      <top style="thin">
        <color theme="0" tint="-0.14993743705557422"/>
      </top>
      <bottom style="thin">
        <color theme="1"/>
      </bottom>
      <diagonal/>
    </border>
    <border>
      <left/>
      <right style="thin">
        <color theme="0" tint="-0.14993743705557422"/>
      </right>
      <top style="thin">
        <color theme="0" tint="-0.14993743705557422"/>
      </top>
      <bottom style="thin">
        <color theme="1"/>
      </bottom>
      <diagonal/>
    </border>
    <border>
      <left/>
      <right style="thin">
        <color theme="0" tint="-0.14993743705557422"/>
      </right>
      <top style="thin">
        <color theme="1"/>
      </top>
      <bottom style="thin">
        <color theme="1"/>
      </bottom>
      <diagonal/>
    </border>
    <border>
      <left style="thin">
        <color theme="0" tint="-0.14993743705557422"/>
      </left>
      <right style="thin">
        <color indexed="64"/>
      </right>
      <top style="thin">
        <color indexed="64"/>
      </top>
      <bottom style="thin">
        <color indexed="64"/>
      </bottom>
      <diagonal/>
    </border>
    <border>
      <left style="thin">
        <color theme="0" tint="-0.14993743705557422"/>
      </left>
      <right/>
      <top style="thin">
        <color theme="0" tint="-0.14993743705557422"/>
      </top>
      <bottom style="thin">
        <color theme="1"/>
      </bottom>
      <diagonal/>
    </border>
    <border>
      <left/>
      <right/>
      <top style="thin">
        <color theme="1"/>
      </top>
      <bottom style="thin">
        <color theme="1"/>
      </bottom>
      <diagonal/>
    </border>
    <border>
      <left style="thin">
        <color theme="0" tint="-0.14993743705557422"/>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theme="0" tint="-0.14993743705557422"/>
      </left>
      <right style="thin">
        <color indexed="64"/>
      </right>
      <top style="thin">
        <color indexed="64"/>
      </top>
      <bottom style="thin">
        <color theme="0" tint="-0.14993743705557422"/>
      </bottom>
      <diagonal/>
    </border>
    <border>
      <left/>
      <right/>
      <top style="thin">
        <color theme="9" tint="0.39997558519241921"/>
      </top>
      <bottom style="thin">
        <color theme="0" tint="-0.14993743705557422"/>
      </bottom>
      <diagonal/>
    </border>
    <border>
      <left/>
      <right/>
      <top style="thin">
        <color theme="1"/>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style="thin">
        <color theme="0" tint="-0.14993743705557422"/>
      </right>
      <top style="thin">
        <color theme="1"/>
      </top>
      <bottom style="thin">
        <color theme="0" tint="-0.14993743705557422"/>
      </bottom>
      <diagonal/>
    </border>
    <border>
      <left/>
      <right style="thin">
        <color theme="0" tint="-0.14993743705557422"/>
      </right>
      <top/>
      <bottom style="thin">
        <color theme="1"/>
      </bottom>
      <diagonal/>
    </border>
    <border>
      <left style="thin">
        <color theme="0" tint="-0.14993743705557422"/>
      </left>
      <right style="thin">
        <color theme="0" tint="-0.14993743705557422"/>
      </right>
      <top/>
      <bottom style="thin">
        <color theme="1"/>
      </bottom>
      <diagonal/>
    </border>
    <border>
      <left style="thin">
        <color theme="0" tint="-0.14993743705557422"/>
      </left>
      <right/>
      <top/>
      <bottom style="thin">
        <color theme="1"/>
      </bottom>
      <diagonal/>
    </border>
  </borders>
  <cellStyleXfs count="6">
    <xf numFmtId="0" fontId="0" fillId="0" borderId="0"/>
    <xf numFmtId="43"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301">
    <xf numFmtId="0" fontId="0" fillId="0" borderId="0" xfId="0"/>
    <xf numFmtId="14" fontId="0" fillId="0" borderId="0" xfId="0" applyNumberFormat="1"/>
    <xf numFmtId="0" fontId="0" fillId="0" borderId="3" xfId="0" applyBorder="1"/>
    <xf numFmtId="164" fontId="0" fillId="0" borderId="3" xfId="1" applyNumberFormat="1" applyFont="1" applyFill="1" applyBorder="1" applyAlignment="1">
      <alignment vertical="center"/>
    </xf>
    <xf numFmtId="14" fontId="0" fillId="0" borderId="3" xfId="0" applyNumberFormat="1" applyBorder="1" applyAlignment="1">
      <alignment vertical="center"/>
    </xf>
    <xf numFmtId="0" fontId="9" fillId="3" borderId="0" xfId="0" applyFont="1" applyFill="1" applyAlignment="1">
      <alignment horizontal="left" vertical="top"/>
    </xf>
    <xf numFmtId="0" fontId="0" fillId="0" borderId="0" xfId="0" applyAlignment="1">
      <alignment horizontal="left" vertical="center"/>
    </xf>
    <xf numFmtId="0" fontId="0" fillId="0" borderId="3" xfId="0" quotePrefix="1" applyBorder="1" applyAlignment="1">
      <alignment horizontal="left" vertical="center" wrapText="1"/>
    </xf>
    <xf numFmtId="0" fontId="0" fillId="0" borderId="3" xfId="0" quotePrefix="1" applyBorder="1" applyAlignment="1">
      <alignment horizontal="left" vertical="center"/>
    </xf>
    <xf numFmtId="0" fontId="0" fillId="0" borderId="3" xfId="0" applyBorder="1" applyAlignment="1">
      <alignment horizontal="center"/>
    </xf>
    <xf numFmtId="0" fontId="0" fillId="0" borderId="7" xfId="0" applyBorder="1" applyAlignment="1">
      <alignment horizontal="center"/>
    </xf>
    <xf numFmtId="0" fontId="0" fillId="5" borderId="3" xfId="0" applyFill="1" applyBorder="1"/>
    <xf numFmtId="0" fontId="0" fillId="5" borderId="8" xfId="0" applyFill="1" applyBorder="1"/>
    <xf numFmtId="0" fontId="0" fillId="5" borderId="9" xfId="0" applyFill="1" applyBorder="1"/>
    <xf numFmtId="0" fontId="0" fillId="6" borderId="3" xfId="0" applyFill="1" applyBorder="1"/>
    <xf numFmtId="0" fontId="0" fillId="5" borderId="7" xfId="0" applyFill="1" applyBorder="1"/>
    <xf numFmtId="0" fontId="0" fillId="6" borderId="10" xfId="0" applyFill="1" applyBorder="1"/>
    <xf numFmtId="0" fontId="0" fillId="5" borderId="10" xfId="0" applyFill="1" applyBorder="1"/>
    <xf numFmtId="0" fontId="0" fillId="6" borderId="7" xfId="0" applyFill="1" applyBorder="1"/>
    <xf numFmtId="0" fontId="0" fillId="6" borderId="5" xfId="0" applyFill="1" applyBorder="1"/>
    <xf numFmtId="20" fontId="0" fillId="0" borderId="0" xfId="0" applyNumberFormat="1"/>
    <xf numFmtId="0" fontId="0" fillId="0" borderId="6" xfId="0" applyBorder="1"/>
    <xf numFmtId="0" fontId="11" fillId="0" borderId="0" xfId="3"/>
    <xf numFmtId="0" fontId="12" fillId="0" borderId="0" xfId="0" applyFont="1" applyAlignment="1">
      <alignment horizontal="center"/>
    </xf>
    <xf numFmtId="0" fontId="14" fillId="3" borderId="0" xfId="0" applyFont="1" applyFill="1" applyAlignment="1">
      <alignment horizontal="left" vertical="top"/>
    </xf>
    <xf numFmtId="0" fontId="15" fillId="0" borderId="0" xfId="2" applyFont="1" applyBorder="1" applyAlignment="1">
      <alignment horizontal="left" vertical="top"/>
    </xf>
    <xf numFmtId="0" fontId="16" fillId="0" borderId="0" xfId="0" applyFont="1" applyAlignment="1">
      <alignment horizontal="left" vertical="top"/>
    </xf>
    <xf numFmtId="0" fontId="15" fillId="4" borderId="0" xfId="2" applyFont="1" applyFill="1" applyBorder="1" applyAlignment="1">
      <alignment horizontal="left" vertical="top"/>
    </xf>
    <xf numFmtId="0" fontId="16" fillId="4" borderId="0" xfId="0" applyFont="1" applyFill="1" applyAlignment="1">
      <alignment horizontal="left" vertical="top"/>
    </xf>
    <xf numFmtId="14" fontId="0" fillId="0" borderId="3" xfId="0" applyNumberFormat="1" applyBorder="1" applyAlignment="1">
      <alignment horizontal="center"/>
    </xf>
    <xf numFmtId="164" fontId="0" fillId="0" borderId="3" xfId="1" applyNumberFormat="1" applyFont="1" applyFill="1" applyBorder="1" applyAlignment="1">
      <alignment horizontal="center" vertical="center"/>
    </xf>
    <xf numFmtId="0" fontId="0" fillId="0" borderId="3" xfId="0" applyBorder="1" applyAlignment="1">
      <alignment horizontal="center" vertical="center"/>
    </xf>
    <xf numFmtId="14" fontId="0" fillId="0" borderId="3" xfId="0" applyNumberFormat="1" applyBorder="1" applyAlignment="1">
      <alignment horizontal="center" vertical="center"/>
    </xf>
    <xf numFmtId="165" fontId="0" fillId="0" borderId="3" xfId="0" applyNumberFormat="1" applyBorder="1" applyAlignment="1">
      <alignment horizontal="center" vertical="center"/>
    </xf>
    <xf numFmtId="0" fontId="0" fillId="0" borderId="3" xfId="0" applyBorder="1" applyAlignment="1">
      <alignment horizontal="left" vertical="center"/>
    </xf>
    <xf numFmtId="14" fontId="0" fillId="6" borderId="3" xfId="0" applyNumberFormat="1" applyFill="1" applyBorder="1" applyAlignment="1">
      <alignment horizontal="center"/>
    </xf>
    <xf numFmtId="49" fontId="11" fillId="0" borderId="3" xfId="3" applyNumberFormat="1" applyBorder="1" applyAlignment="1">
      <alignment horizontal="center" vertical="center"/>
    </xf>
    <xf numFmtId="0" fontId="3" fillId="9" borderId="6" xfId="0" applyFont="1" applyFill="1" applyBorder="1" applyAlignment="1">
      <alignment horizontal="left"/>
    </xf>
    <xf numFmtId="0" fontId="0" fillId="0" borderId="12" xfId="0" applyBorder="1"/>
    <xf numFmtId="0" fontId="0" fillId="0" borderId="11" xfId="0" applyBorder="1"/>
    <xf numFmtId="14" fontId="0" fillId="0" borderId="3" xfId="0" applyNumberFormat="1" applyBorder="1" applyAlignment="1">
      <alignment horizontal="left"/>
    </xf>
    <xf numFmtId="14" fontId="0" fillId="0" borderId="3" xfId="0" applyNumberFormat="1" applyBorder="1" applyAlignment="1">
      <alignment horizontal="left" vertical="center"/>
    </xf>
    <xf numFmtId="0" fontId="18" fillId="0" borderId="13" xfId="0" applyFont="1" applyBorder="1" applyAlignment="1">
      <alignment horizontal="right" vertical="center" wrapText="1"/>
    </xf>
    <xf numFmtId="0" fontId="18" fillId="0" borderId="13" xfId="0" applyFont="1" applyBorder="1" applyAlignment="1">
      <alignment vertical="center" wrapText="1"/>
    </xf>
    <xf numFmtId="0" fontId="18" fillId="0" borderId="14" xfId="0" applyFont="1" applyBorder="1" applyAlignment="1">
      <alignment vertical="center" wrapText="1"/>
    </xf>
    <xf numFmtId="0" fontId="18" fillId="0" borderId="15" xfId="0" applyFont="1" applyBorder="1" applyAlignment="1">
      <alignment horizontal="right" vertical="center" wrapText="1"/>
    </xf>
    <xf numFmtId="0" fontId="18" fillId="0" borderId="15" xfId="0" applyFont="1" applyBorder="1" applyAlignment="1">
      <alignment vertical="center" wrapText="1"/>
    </xf>
    <xf numFmtId="0" fontId="18" fillId="0" borderId="0" xfId="0" applyFont="1" applyAlignment="1">
      <alignment vertical="center" wrapText="1"/>
    </xf>
    <xf numFmtId="0" fontId="17" fillId="0" borderId="0" xfId="0" applyFont="1" applyAlignment="1">
      <alignment vertical="center" wrapText="1"/>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8" fillId="10" borderId="13" xfId="0" applyFont="1" applyFill="1" applyBorder="1" applyAlignment="1">
      <alignment horizontal="right" vertical="center" wrapText="1"/>
    </xf>
    <xf numFmtId="0" fontId="18" fillId="10" borderId="13" xfId="0" applyFont="1" applyFill="1" applyBorder="1" applyAlignment="1">
      <alignment vertical="center" wrapText="1"/>
    </xf>
    <xf numFmtId="0" fontId="18" fillId="10" borderId="14" xfId="0" applyFont="1" applyFill="1" applyBorder="1" applyAlignment="1">
      <alignment vertical="center" wrapText="1"/>
    </xf>
    <xf numFmtId="0" fontId="5" fillId="12" borderId="3" xfId="0" applyFont="1" applyFill="1" applyBorder="1" applyAlignment="1">
      <alignment wrapText="1"/>
    </xf>
    <xf numFmtId="0" fontId="3" fillId="11" borderId="3" xfId="0" applyFont="1" applyFill="1" applyBorder="1" applyAlignment="1">
      <alignment horizontal="left"/>
    </xf>
    <xf numFmtId="0" fontId="0" fillId="0" borderId="3" xfId="0" applyBorder="1" applyAlignment="1">
      <alignment horizontal="left"/>
    </xf>
    <xf numFmtId="0" fontId="5" fillId="0" borderId="3" xfId="0" applyFont="1" applyBorder="1" applyAlignment="1">
      <alignment horizontal="left"/>
    </xf>
    <xf numFmtId="0" fontId="6" fillId="0" borderId="3" xfId="0" applyFont="1" applyBorder="1" applyAlignment="1">
      <alignment horizontal="left" vertical="center"/>
    </xf>
    <xf numFmtId="0" fontId="6" fillId="0" borderId="3" xfId="0" applyFont="1" applyBorder="1" applyAlignment="1">
      <alignment horizontal="left"/>
    </xf>
    <xf numFmtId="0" fontId="5" fillId="6" borderId="3" xfId="0" applyFont="1" applyFill="1" applyBorder="1" applyAlignment="1">
      <alignment horizontal="left"/>
    </xf>
    <xf numFmtId="165" fontId="0" fillId="0" borderId="3" xfId="0" applyNumberFormat="1" applyBorder="1" applyAlignment="1">
      <alignment horizontal="center"/>
    </xf>
    <xf numFmtId="165" fontId="0" fillId="6" borderId="3" xfId="0" applyNumberFormat="1" applyFill="1" applyBorder="1" applyAlignment="1">
      <alignment horizontal="center"/>
    </xf>
    <xf numFmtId="0" fontId="16" fillId="0" borderId="0" xfId="0" applyFont="1" applyAlignment="1">
      <alignment horizontal="left" vertical="top" wrapText="1"/>
    </xf>
    <xf numFmtId="0" fontId="16" fillId="4" borderId="0" xfId="0" applyFont="1" applyFill="1" applyAlignment="1">
      <alignment horizontal="left" vertical="top" wrapText="1"/>
    </xf>
    <xf numFmtId="22" fontId="16" fillId="0" borderId="0" xfId="0" applyNumberFormat="1" applyFont="1" applyAlignment="1">
      <alignment horizontal="left" vertical="top"/>
    </xf>
    <xf numFmtId="22" fontId="16" fillId="4" borderId="0" xfId="0" applyNumberFormat="1" applyFont="1" applyFill="1" applyAlignment="1">
      <alignment horizontal="left" vertical="top"/>
    </xf>
    <xf numFmtId="49" fontId="0" fillId="0" borderId="3" xfId="0" applyNumberFormat="1" applyBorder="1" applyAlignment="1">
      <alignment horizontal="center" vertical="center"/>
    </xf>
    <xf numFmtId="0" fontId="0" fillId="0" borderId="3" xfId="0" applyBorder="1" applyAlignment="1">
      <alignment horizontal="center" vertical="center" wrapText="1"/>
    </xf>
    <xf numFmtId="0" fontId="3" fillId="0" borderId="3" xfId="0" applyFont="1" applyBorder="1" applyAlignment="1">
      <alignment horizontal="left" vertical="center"/>
    </xf>
    <xf numFmtId="0" fontId="5" fillId="0" borderId="3" xfId="0" applyFont="1" applyBorder="1" applyAlignment="1">
      <alignment horizontal="left" vertical="center"/>
    </xf>
    <xf numFmtId="0" fontId="0" fillId="6" borderId="3" xfId="0" applyFill="1" applyBorder="1" applyAlignment="1">
      <alignment horizontal="center"/>
    </xf>
    <xf numFmtId="14" fontId="0" fillId="6" borderId="3" xfId="0" applyNumberFormat="1" applyFill="1" applyBorder="1" applyAlignment="1">
      <alignment horizontal="left"/>
    </xf>
    <xf numFmtId="0" fontId="0" fillId="6" borderId="3" xfId="0" applyFill="1" applyBorder="1" applyAlignment="1">
      <alignment horizontal="left"/>
    </xf>
    <xf numFmtId="0" fontId="21" fillId="13" borderId="17" xfId="0" applyFont="1" applyFill="1" applyBorder="1" applyAlignment="1">
      <alignment horizontal="center" vertical="center"/>
    </xf>
    <xf numFmtId="0" fontId="21" fillId="13" borderId="16" xfId="0" applyFont="1" applyFill="1" applyBorder="1" applyAlignment="1">
      <alignment horizontal="center" vertical="center"/>
    </xf>
    <xf numFmtId="0" fontId="20" fillId="0" borderId="16" xfId="0" applyFont="1" applyBorder="1" applyAlignment="1">
      <alignment vertical="center" wrapText="1"/>
    </xf>
    <xf numFmtId="0" fontId="20" fillId="0" borderId="13" xfId="0" applyFont="1" applyBorder="1" applyAlignment="1">
      <alignment vertical="center" wrapText="1"/>
    </xf>
    <xf numFmtId="0" fontId="20" fillId="0" borderId="20" xfId="0" applyFont="1" applyBorder="1" applyAlignment="1">
      <alignment vertical="center"/>
    </xf>
    <xf numFmtId="0" fontId="20" fillId="0" borderId="13" xfId="0" applyFont="1" applyBorder="1" applyAlignment="1">
      <alignment vertical="center"/>
    </xf>
    <xf numFmtId="0" fontId="11" fillId="0" borderId="3" xfId="3" applyBorder="1" applyAlignment="1">
      <alignment horizontal="center" vertical="center"/>
    </xf>
    <xf numFmtId="0" fontId="11" fillId="0" borderId="3" xfId="3" applyFill="1" applyBorder="1" applyAlignment="1">
      <alignment horizontal="center" vertical="center"/>
    </xf>
    <xf numFmtId="49" fontId="0" fillId="0" borderId="0" xfId="0" applyNumberFormat="1"/>
    <xf numFmtId="0" fontId="0" fillId="0" borderId="0" xfId="0" applyAlignment="1">
      <alignment horizontal="left" wrapText="1"/>
    </xf>
    <xf numFmtId="22" fontId="0" fillId="0" borderId="0" xfId="0" applyNumberFormat="1" applyAlignment="1">
      <alignment horizontal="left" wrapText="1"/>
    </xf>
    <xf numFmtId="0" fontId="3" fillId="0" borderId="0" xfId="0" applyFont="1"/>
    <xf numFmtId="0" fontId="0" fillId="14" borderId="3" xfId="0" applyFill="1" applyBorder="1"/>
    <xf numFmtId="0" fontId="0" fillId="15" borderId="3" xfId="0" applyFill="1" applyBorder="1"/>
    <xf numFmtId="49" fontId="11" fillId="0" borderId="3" xfId="3" applyNumberFormat="1" applyBorder="1" applyAlignment="1">
      <alignment vertical="center"/>
    </xf>
    <xf numFmtId="0" fontId="22" fillId="17" borderId="24" xfId="0" applyFont="1" applyFill="1" applyBorder="1"/>
    <xf numFmtId="0" fontId="22" fillId="17" borderId="25" xfId="0" applyFont="1" applyFill="1" applyBorder="1"/>
    <xf numFmtId="14" fontId="0" fillId="16" borderId="3" xfId="0" applyNumberFormat="1" applyFill="1" applyBorder="1" applyAlignment="1">
      <alignment horizontal="left"/>
    </xf>
    <xf numFmtId="14" fontId="0" fillId="0" borderId="23" xfId="0" applyNumberFormat="1" applyBorder="1" applyAlignment="1">
      <alignment horizontal="left"/>
    </xf>
    <xf numFmtId="0" fontId="23" fillId="15" borderId="3" xfId="0" applyFont="1" applyFill="1" applyBorder="1" applyAlignment="1">
      <alignment horizontal="center"/>
    </xf>
    <xf numFmtId="0" fontId="0" fillId="0" borderId="12" xfId="0" applyBorder="1" applyAlignment="1">
      <alignment horizontal="center"/>
    </xf>
    <xf numFmtId="0" fontId="0" fillId="18" borderId="24" xfId="0" applyFill="1" applyBorder="1"/>
    <xf numFmtId="0" fontId="0" fillId="18" borderId="25" xfId="0" applyFill="1" applyBorder="1"/>
    <xf numFmtId="0" fontId="0" fillId="0" borderId="24" xfId="0" applyBorder="1"/>
    <xf numFmtId="0" fontId="0" fillId="0" borderId="25" xfId="0" applyBorder="1"/>
    <xf numFmtId="22" fontId="0" fillId="0" borderId="0" xfId="0" applyNumberFormat="1"/>
    <xf numFmtId="2" fontId="0" fillId="0" borderId="0" xfId="0" applyNumberFormat="1"/>
    <xf numFmtId="0" fontId="5" fillId="0" borderId="0" xfId="0" applyFont="1"/>
    <xf numFmtId="14" fontId="5" fillId="0" borderId="0" xfId="0" applyNumberFormat="1" applyFont="1"/>
    <xf numFmtId="44" fontId="5" fillId="0" borderId="0" xfId="4" applyFont="1"/>
    <xf numFmtId="9" fontId="5" fillId="0" borderId="0" xfId="5" applyFont="1"/>
    <xf numFmtId="0" fontId="4" fillId="2" borderId="2" xfId="0" applyFont="1" applyFill="1" applyBorder="1" applyAlignment="1">
      <alignment vertical="center"/>
    </xf>
    <xf numFmtId="0" fontId="4" fillId="2" borderId="4" xfId="0" applyFont="1" applyFill="1" applyBorder="1" applyAlignment="1">
      <alignment vertical="center"/>
    </xf>
    <xf numFmtId="0" fontId="4" fillId="2" borderId="1" xfId="0" applyFont="1" applyFill="1" applyBorder="1" applyAlignment="1">
      <alignment vertical="center"/>
    </xf>
    <xf numFmtId="165" fontId="0" fillId="0" borderId="3" xfId="1" applyNumberFormat="1" applyFont="1" applyFill="1" applyBorder="1" applyAlignment="1">
      <alignment vertical="center"/>
    </xf>
    <xf numFmtId="0" fontId="0" fillId="8" borderId="3" xfId="0" applyFill="1" applyBorder="1" applyAlignment="1">
      <alignment horizontal="center" vertical="center"/>
    </xf>
    <xf numFmtId="1" fontId="0" fillId="0" borderId="3" xfId="0" applyNumberFormat="1" applyBorder="1" applyAlignment="1">
      <alignment horizontal="center"/>
    </xf>
    <xf numFmtId="1" fontId="0" fillId="0" borderId="3" xfId="0" applyNumberFormat="1" applyBorder="1" applyAlignment="1">
      <alignment horizontal="center" vertical="center"/>
    </xf>
    <xf numFmtId="0" fontId="0" fillId="7" borderId="3" xfId="0" applyFill="1" applyBorder="1" applyAlignment="1">
      <alignment horizontal="center"/>
    </xf>
    <xf numFmtId="0" fontId="0" fillId="7" borderId="3" xfId="0" applyFill="1" applyBorder="1" applyAlignment="1">
      <alignment horizontal="left"/>
    </xf>
    <xf numFmtId="14" fontId="0" fillId="7" borderId="3" xfId="0" applyNumberFormat="1" applyFill="1" applyBorder="1" applyAlignment="1">
      <alignment horizontal="center"/>
    </xf>
    <xf numFmtId="165" fontId="0" fillId="7" borderId="3" xfId="0" applyNumberFormat="1" applyFill="1" applyBorder="1" applyAlignment="1">
      <alignment horizontal="center"/>
    </xf>
    <xf numFmtId="14" fontId="0" fillId="7" borderId="3" xfId="0" applyNumberFormat="1" applyFill="1" applyBorder="1" applyAlignment="1">
      <alignment horizontal="left"/>
    </xf>
    <xf numFmtId="0" fontId="4" fillId="2" borderId="26" xfId="0" applyFont="1" applyFill="1" applyBorder="1" applyAlignment="1">
      <alignment vertical="center"/>
    </xf>
    <xf numFmtId="14" fontId="16" fillId="19" borderId="27" xfId="0" applyNumberFormat="1" applyFont="1" applyFill="1" applyBorder="1" applyAlignment="1">
      <alignment horizontal="left" vertical="top"/>
    </xf>
    <xf numFmtId="14" fontId="16" fillId="4" borderId="27" xfId="0" applyNumberFormat="1" applyFont="1" applyFill="1" applyBorder="1" applyAlignment="1">
      <alignment horizontal="left" vertical="top"/>
    </xf>
    <xf numFmtId="0" fontId="19" fillId="0" borderId="20" xfId="0" applyFont="1" applyBorder="1" applyAlignment="1">
      <alignment horizontal="center" vertical="center" wrapText="1"/>
    </xf>
    <xf numFmtId="0" fontId="20" fillId="0" borderId="15" xfId="0" applyFont="1" applyBorder="1" applyAlignment="1">
      <alignment vertical="center"/>
    </xf>
    <xf numFmtId="1" fontId="23" fillId="15" borderId="3" xfId="0" applyNumberFormat="1" applyFont="1" applyFill="1" applyBorder="1" applyAlignment="1">
      <alignment horizontal="center"/>
    </xf>
    <xf numFmtId="14" fontId="0" fillId="0" borderId="3" xfId="0" applyNumberFormat="1" applyBorder="1"/>
    <xf numFmtId="164" fontId="0" fillId="0" borderId="3" xfId="1" applyNumberFormat="1" applyFont="1" applyFill="1" applyBorder="1" applyAlignment="1"/>
    <xf numFmtId="49" fontId="11" fillId="0" borderId="3" xfId="3" applyNumberFormat="1" applyBorder="1" applyAlignment="1"/>
    <xf numFmtId="0" fontId="11" fillId="0" borderId="3" xfId="3" applyBorder="1" applyAlignment="1"/>
    <xf numFmtId="164" fontId="0" fillId="6" borderId="3" xfId="1" applyNumberFormat="1" applyFont="1" applyFill="1" applyBorder="1" applyAlignment="1"/>
    <xf numFmtId="0" fontId="11" fillId="6" borderId="3" xfId="3" applyNumberFormat="1" applyFill="1" applyBorder="1" applyAlignment="1"/>
    <xf numFmtId="0" fontId="11" fillId="0" borderId="3" xfId="3" applyNumberFormat="1" applyBorder="1" applyAlignment="1"/>
    <xf numFmtId="49" fontId="11" fillId="0" borderId="3" xfId="3" applyNumberFormat="1" applyFill="1" applyBorder="1" applyAlignment="1"/>
    <xf numFmtId="164" fontId="0" fillId="7" borderId="3" xfId="1" applyNumberFormat="1" applyFont="1" applyFill="1" applyBorder="1" applyAlignment="1"/>
    <xf numFmtId="49" fontId="11" fillId="7" borderId="3" xfId="3" applyNumberFormat="1" applyFill="1" applyBorder="1" applyAlignment="1"/>
    <xf numFmtId="49" fontId="11" fillId="6" borderId="3" xfId="3" applyNumberFormat="1" applyFill="1" applyBorder="1" applyAlignment="1"/>
    <xf numFmtId="14" fontId="0" fillId="16" borderId="23" xfId="0" applyNumberFormat="1" applyFill="1" applyBorder="1" applyAlignment="1">
      <alignment horizontal="left" vertical="center"/>
    </xf>
    <xf numFmtId="18" fontId="0" fillId="0" borderId="0" xfId="0" applyNumberFormat="1"/>
    <xf numFmtId="0" fontId="0" fillId="0" borderId="3" xfId="0" applyBorder="1" applyAlignment="1">
      <alignment horizontal="left" wrapText="1"/>
    </xf>
    <xf numFmtId="0" fontId="15" fillId="0" borderId="0" xfId="2" applyFont="1" applyAlignment="1">
      <alignment horizontal="left" vertical="top"/>
    </xf>
    <xf numFmtId="14" fontId="16" fillId="0" borderId="0" xfId="0" applyNumberFormat="1" applyFont="1" applyAlignment="1">
      <alignment horizontal="left" vertical="top"/>
    </xf>
    <xf numFmtId="0" fontId="0" fillId="0" borderId="6" xfId="0" applyBorder="1" applyAlignment="1">
      <alignment horizontal="center" vertical="center"/>
    </xf>
    <xf numFmtId="0" fontId="0" fillId="0" borderId="6" xfId="0" applyBorder="1" applyAlignment="1">
      <alignment horizontal="left" vertical="center"/>
    </xf>
    <xf numFmtId="14" fontId="0" fillId="0" borderId="6" xfId="0" applyNumberFormat="1" applyBorder="1" applyAlignment="1">
      <alignment horizontal="center" vertical="center"/>
    </xf>
    <xf numFmtId="14" fontId="0" fillId="0" borderId="6" xfId="0" applyNumberFormat="1" applyBorder="1" applyAlignment="1">
      <alignment vertical="center"/>
    </xf>
    <xf numFmtId="165" fontId="0" fillId="0" borderId="6" xfId="0" applyNumberFormat="1" applyBorder="1" applyAlignment="1">
      <alignment horizontal="center" vertical="center"/>
    </xf>
    <xf numFmtId="164" fontId="0" fillId="0" borderId="6" xfId="1" applyNumberFormat="1" applyFont="1" applyFill="1" applyBorder="1" applyAlignment="1">
      <alignment vertical="center"/>
    </xf>
    <xf numFmtId="0" fontId="5" fillId="0" borderId="6" xfId="0" applyFont="1" applyBorder="1" applyAlignment="1">
      <alignment horizontal="left" vertical="center"/>
    </xf>
    <xf numFmtId="14" fontId="0" fillId="0" borderId="6" xfId="0" applyNumberFormat="1" applyBorder="1" applyAlignment="1">
      <alignment horizontal="left" vertical="center"/>
    </xf>
    <xf numFmtId="0" fontId="11" fillId="0" borderId="3" xfId="3" applyBorder="1"/>
    <xf numFmtId="1" fontId="0" fillId="0" borderId="6" xfId="0" applyNumberFormat="1" applyBorder="1" applyAlignment="1">
      <alignment horizontal="center" vertical="center"/>
    </xf>
    <xf numFmtId="0" fontId="11" fillId="18" borderId="3" xfId="3" applyFill="1" applyBorder="1"/>
    <xf numFmtId="0" fontId="0" fillId="0" borderId="0" xfId="0" applyAlignment="1">
      <alignment horizontal="center"/>
    </xf>
    <xf numFmtId="14" fontId="0" fillId="0" borderId="0" xfId="0" applyNumberFormat="1" applyAlignment="1">
      <alignment horizontal="center"/>
    </xf>
    <xf numFmtId="14" fontId="0" fillId="0" borderId="3" xfId="0" quotePrefix="1" applyNumberFormat="1" applyBorder="1" applyAlignment="1">
      <alignment horizontal="center" vertical="center"/>
    </xf>
    <xf numFmtId="14" fontId="0" fillId="0" borderId="6" xfId="0" applyNumberFormat="1" applyBorder="1" applyAlignment="1">
      <alignment horizontal="left"/>
    </xf>
    <xf numFmtId="1" fontId="0" fillId="0" borderId="6" xfId="0" applyNumberFormat="1" applyBorder="1" applyAlignment="1">
      <alignment horizontal="center"/>
    </xf>
    <xf numFmtId="0" fontId="0" fillId="0" borderId="33" xfId="0" applyBorder="1"/>
    <xf numFmtId="0" fontId="0" fillId="16" borderId="33" xfId="0" applyFill="1" applyBorder="1"/>
    <xf numFmtId="0" fontId="4" fillId="2" borderId="28" xfId="0" applyFont="1" applyFill="1" applyBorder="1" applyAlignment="1">
      <alignment vertical="center"/>
    </xf>
    <xf numFmtId="0" fontId="4" fillId="2" borderId="29" xfId="0" applyFont="1" applyFill="1" applyBorder="1" applyAlignment="1">
      <alignment vertical="center"/>
    </xf>
    <xf numFmtId="0" fontId="4" fillId="2" borderId="32" xfId="0" applyFont="1" applyFill="1" applyBorder="1" applyAlignment="1">
      <alignment vertical="center"/>
    </xf>
    <xf numFmtId="0" fontId="4" fillId="2" borderId="39" xfId="0" applyFont="1" applyFill="1" applyBorder="1" applyAlignment="1">
      <alignment vertical="center"/>
    </xf>
    <xf numFmtId="0" fontId="0" fillId="16" borderId="31" xfId="0" applyFill="1" applyBorder="1" applyAlignment="1">
      <alignment horizontal="center"/>
    </xf>
    <xf numFmtId="0" fontId="0" fillId="16" borderId="3" xfId="0" applyFill="1" applyBorder="1" applyAlignment="1">
      <alignment horizontal="center"/>
    </xf>
    <xf numFmtId="0" fontId="0" fillId="16" borderId="3" xfId="0" applyFill="1" applyBorder="1" applyAlignment="1">
      <alignment horizontal="left"/>
    </xf>
    <xf numFmtId="14" fontId="0" fillId="16" borderId="3" xfId="0" applyNumberFormat="1" applyFill="1" applyBorder="1"/>
    <xf numFmtId="165" fontId="0" fillId="16" borderId="3" xfId="0" applyNumberFormat="1" applyFill="1" applyBorder="1" applyAlignment="1">
      <alignment horizontal="center"/>
    </xf>
    <xf numFmtId="14" fontId="0" fillId="16" borderId="3" xfId="0" applyNumberFormat="1" applyFill="1" applyBorder="1" applyAlignment="1">
      <alignment horizontal="center"/>
    </xf>
    <xf numFmtId="164" fontId="0" fillId="16" borderId="3" xfId="1" applyNumberFormat="1" applyFont="1" applyFill="1" applyBorder="1" applyAlignment="1"/>
    <xf numFmtId="0" fontId="0" fillId="16" borderId="3" xfId="0" applyFill="1" applyBorder="1"/>
    <xf numFmtId="49" fontId="11" fillId="16" borderId="3" xfId="3" applyNumberFormat="1" applyFill="1" applyBorder="1" applyAlignment="1"/>
    <xf numFmtId="14" fontId="0" fillId="16" borderId="3" xfId="0" applyNumberFormat="1" applyFill="1" applyBorder="1" applyAlignment="1">
      <alignment horizontal="center" vertical="center"/>
    </xf>
    <xf numFmtId="1" fontId="0" fillId="16" borderId="3" xfId="0" applyNumberFormat="1" applyFill="1" applyBorder="1" applyAlignment="1">
      <alignment horizontal="center"/>
    </xf>
    <xf numFmtId="14" fontId="0" fillId="16" borderId="30" xfId="0" applyNumberFormat="1" applyFill="1" applyBorder="1" applyAlignment="1">
      <alignment horizontal="center"/>
    </xf>
    <xf numFmtId="0" fontId="0" fillId="0" borderId="31" xfId="0" applyBorder="1" applyAlignment="1">
      <alignment horizontal="center"/>
    </xf>
    <xf numFmtId="164" fontId="0" fillId="0" borderId="3" xfId="1" applyNumberFormat="1" applyFont="1" applyBorder="1" applyAlignment="1"/>
    <xf numFmtId="14" fontId="0" fillId="0" borderId="30" xfId="0" applyNumberFormat="1" applyBorder="1" applyAlignment="1">
      <alignment horizontal="center"/>
    </xf>
    <xf numFmtId="0" fontId="0" fillId="16" borderId="31" xfId="0" applyFill="1" applyBorder="1" applyAlignment="1">
      <alignment horizontal="center" vertical="center"/>
    </xf>
    <xf numFmtId="0" fontId="0" fillId="16" borderId="3" xfId="0" applyFill="1" applyBorder="1" applyAlignment="1">
      <alignment horizontal="center" vertical="center"/>
    </xf>
    <xf numFmtId="0" fontId="0" fillId="16" borderId="3" xfId="0" applyFill="1" applyBorder="1" applyAlignment="1">
      <alignment horizontal="left" vertical="center"/>
    </xf>
    <xf numFmtId="165" fontId="0" fillId="16" borderId="3" xfId="0" applyNumberFormat="1" applyFill="1" applyBorder="1" applyAlignment="1">
      <alignment horizontal="center" vertical="center"/>
    </xf>
    <xf numFmtId="164" fontId="0" fillId="16" borderId="3" xfId="1" applyNumberFormat="1" applyFont="1" applyFill="1" applyBorder="1" applyAlignment="1">
      <alignment horizontal="center" vertical="center"/>
    </xf>
    <xf numFmtId="14" fontId="0" fillId="16" borderId="3" xfId="0" applyNumberFormat="1" applyFill="1" applyBorder="1" applyAlignment="1">
      <alignment horizontal="left" vertical="center"/>
    </xf>
    <xf numFmtId="0" fontId="11" fillId="16" borderId="3" xfId="3" applyFill="1" applyBorder="1" applyAlignment="1">
      <alignment horizontal="center" vertical="center"/>
    </xf>
    <xf numFmtId="0" fontId="5" fillId="16" borderId="3" xfId="0" applyFont="1" applyFill="1" applyBorder="1" applyAlignment="1">
      <alignment horizontal="left" vertical="center" wrapText="1"/>
    </xf>
    <xf numFmtId="49" fontId="11" fillId="16" borderId="3" xfId="3" applyNumberFormat="1" applyFill="1" applyBorder="1" applyAlignment="1">
      <alignment horizontal="center" vertical="center"/>
    </xf>
    <xf numFmtId="14" fontId="0" fillId="16" borderId="3" xfId="0" applyNumberFormat="1" applyFill="1" applyBorder="1" applyAlignment="1">
      <alignment vertical="center"/>
    </xf>
    <xf numFmtId="164" fontId="0" fillId="16" borderId="3" xfId="1" applyNumberFormat="1" applyFont="1" applyFill="1" applyBorder="1" applyAlignment="1">
      <alignment vertical="center"/>
    </xf>
    <xf numFmtId="0" fontId="5" fillId="16" borderId="3" xfId="0" applyFont="1" applyFill="1" applyBorder="1" applyAlignment="1">
      <alignment horizontal="left" vertical="center"/>
    </xf>
    <xf numFmtId="1" fontId="0" fillId="16" borderId="3" xfId="0" applyNumberFormat="1" applyFill="1" applyBorder="1" applyAlignment="1">
      <alignment horizontal="center" vertical="center"/>
    </xf>
    <xf numFmtId="0" fontId="0" fillId="0" borderId="31" xfId="0" applyBorder="1" applyAlignment="1">
      <alignment horizontal="center" vertical="center"/>
    </xf>
    <xf numFmtId="164" fontId="0" fillId="0" borderId="3" xfId="1" applyNumberFormat="1" applyFont="1" applyBorder="1" applyAlignment="1">
      <alignment horizontal="center" vertical="center"/>
    </xf>
    <xf numFmtId="0" fontId="5" fillId="16" borderId="3" xfId="0" applyFont="1" applyFill="1" applyBorder="1" applyAlignment="1">
      <alignment horizontal="center" vertical="center"/>
    </xf>
    <xf numFmtId="49" fontId="11" fillId="16" borderId="3" xfId="3" applyNumberFormat="1" applyFill="1" applyBorder="1" applyAlignment="1">
      <alignment vertical="center"/>
    </xf>
    <xf numFmtId="0" fontId="6" fillId="16" borderId="3" xfId="0" applyFont="1" applyFill="1" applyBorder="1" applyAlignment="1">
      <alignment horizontal="left"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5" xfId="0" applyBorder="1" applyAlignment="1">
      <alignment horizontal="left" vertical="center"/>
    </xf>
    <xf numFmtId="14" fontId="0" fillId="0" borderId="35" xfId="0" applyNumberFormat="1" applyBorder="1" applyAlignment="1">
      <alignment horizontal="center" vertical="center"/>
    </xf>
    <xf numFmtId="14" fontId="0" fillId="0" borderId="35" xfId="0" applyNumberFormat="1" applyBorder="1" applyAlignment="1">
      <alignment vertical="center"/>
    </xf>
    <xf numFmtId="165" fontId="0" fillId="0" borderId="35" xfId="0" applyNumberFormat="1" applyBorder="1" applyAlignment="1">
      <alignment horizontal="center" vertical="center"/>
    </xf>
    <xf numFmtId="164" fontId="0" fillId="0" borderId="35" xfId="1" applyNumberFormat="1" applyFont="1" applyBorder="1" applyAlignment="1">
      <alignment vertical="center"/>
    </xf>
    <xf numFmtId="0" fontId="5" fillId="0" borderId="35" xfId="0" applyFont="1" applyBorder="1" applyAlignment="1">
      <alignment horizontal="left" vertical="center"/>
    </xf>
    <xf numFmtId="14" fontId="0" fillId="0" borderId="35" xfId="0" applyNumberFormat="1" applyBorder="1" applyAlignment="1">
      <alignment horizontal="left" vertical="center"/>
    </xf>
    <xf numFmtId="0" fontId="11" fillId="0" borderId="33" xfId="3" applyNumberFormat="1" applyBorder="1" applyAlignment="1">
      <alignment vertical="center"/>
    </xf>
    <xf numFmtId="1" fontId="0" fillId="0" borderId="35" xfId="0" applyNumberFormat="1" applyBorder="1" applyAlignment="1">
      <alignment horizontal="center" vertical="center"/>
    </xf>
    <xf numFmtId="0" fontId="0" fillId="16" borderId="34" xfId="0" applyFill="1" applyBorder="1" applyAlignment="1">
      <alignment horizontal="center"/>
    </xf>
    <xf numFmtId="0" fontId="0" fillId="16" borderId="35" xfId="0" applyFill="1" applyBorder="1" applyAlignment="1">
      <alignment horizontal="center"/>
    </xf>
    <xf numFmtId="0" fontId="0" fillId="16" borderId="35" xfId="0" applyFill="1" applyBorder="1" applyAlignment="1">
      <alignment horizontal="left"/>
    </xf>
    <xf numFmtId="14" fontId="0" fillId="18" borderId="24" xfId="0" applyNumberFormat="1" applyFill="1" applyBorder="1"/>
    <xf numFmtId="14" fontId="0" fillId="16" borderId="35" xfId="0" applyNumberFormat="1" applyFill="1" applyBorder="1"/>
    <xf numFmtId="165" fontId="0" fillId="16" borderId="35" xfId="0" applyNumberFormat="1" applyFill="1" applyBorder="1" applyAlignment="1">
      <alignment horizontal="center"/>
    </xf>
    <xf numFmtId="14" fontId="0" fillId="16" borderId="35" xfId="0" applyNumberFormat="1" applyFill="1" applyBorder="1" applyAlignment="1">
      <alignment horizontal="center"/>
    </xf>
    <xf numFmtId="164" fontId="0" fillId="16" borderId="35" xfId="1" applyNumberFormat="1" applyFont="1" applyFill="1" applyBorder="1" applyAlignment="1"/>
    <xf numFmtId="0" fontId="0" fillId="16" borderId="35" xfId="0" applyFill="1" applyBorder="1"/>
    <xf numFmtId="14" fontId="0" fillId="16" borderId="35" xfId="0" applyNumberFormat="1" applyFill="1" applyBorder="1" applyAlignment="1">
      <alignment horizontal="left"/>
    </xf>
    <xf numFmtId="0" fontId="11" fillId="18" borderId="24" xfId="3" applyFill="1" applyBorder="1"/>
    <xf numFmtId="1" fontId="0" fillId="16" borderId="35" xfId="0" applyNumberFormat="1" applyFill="1" applyBorder="1" applyAlignment="1">
      <alignment horizontal="center"/>
    </xf>
    <xf numFmtId="0" fontId="0" fillId="0" borderId="36" xfId="0" applyBorder="1" applyAlignment="1">
      <alignment horizontal="center" vertical="center"/>
    </xf>
    <xf numFmtId="0" fontId="0" fillId="0" borderId="23" xfId="0" applyBorder="1" applyAlignment="1">
      <alignment horizontal="center" vertical="center"/>
    </xf>
    <xf numFmtId="0" fontId="0" fillId="0" borderId="23" xfId="0" applyBorder="1" applyAlignment="1">
      <alignment horizontal="left" vertical="center"/>
    </xf>
    <xf numFmtId="14" fontId="0" fillId="0" borderId="37" xfId="0" applyNumberFormat="1" applyBorder="1" applyAlignment="1">
      <alignment horizontal="center" vertical="center"/>
    </xf>
    <xf numFmtId="14" fontId="0" fillId="0" borderId="23" xfId="0" applyNumberFormat="1" applyBorder="1" applyAlignment="1">
      <alignment vertical="center"/>
    </xf>
    <xf numFmtId="165" fontId="0" fillId="0" borderId="23" xfId="0" applyNumberFormat="1" applyBorder="1" applyAlignment="1">
      <alignment horizontal="center" vertical="center"/>
    </xf>
    <xf numFmtId="14" fontId="0" fillId="0" borderId="23" xfId="0" applyNumberFormat="1" applyBorder="1" applyAlignment="1">
      <alignment horizontal="center" vertical="center"/>
    </xf>
    <xf numFmtId="164" fontId="0" fillId="0" borderId="23" xfId="1" applyNumberFormat="1" applyFont="1" applyBorder="1" applyAlignment="1">
      <alignment vertical="center"/>
    </xf>
    <xf numFmtId="0" fontId="5" fillId="0" borderId="23" xfId="0" applyFont="1" applyBorder="1" applyAlignment="1">
      <alignment horizontal="left" vertical="center"/>
    </xf>
    <xf numFmtId="14" fontId="0" fillId="0" borderId="23" xfId="0" applyNumberFormat="1" applyBorder="1" applyAlignment="1">
      <alignment horizontal="left" vertical="center"/>
    </xf>
    <xf numFmtId="49" fontId="11" fillId="0" borderId="37" xfId="3" applyNumberFormat="1" applyBorder="1" applyAlignment="1">
      <alignment vertical="center"/>
    </xf>
    <xf numFmtId="0" fontId="0" fillId="0" borderId="38" xfId="0" applyBorder="1"/>
    <xf numFmtId="1" fontId="0" fillId="0" borderId="23" xfId="0" applyNumberFormat="1" applyBorder="1" applyAlignment="1">
      <alignment horizontal="center" vertical="center"/>
    </xf>
    <xf numFmtId="14" fontId="0" fillId="0" borderId="40" xfId="0" applyNumberFormat="1" applyBorder="1" applyAlignment="1">
      <alignment horizontal="center"/>
    </xf>
    <xf numFmtId="0" fontId="13" fillId="0" borderId="3" xfId="0" applyFont="1" applyBorder="1" applyAlignment="1">
      <alignment horizontal="left"/>
    </xf>
    <xf numFmtId="164" fontId="0" fillId="0" borderId="6" xfId="1" applyNumberFormat="1" applyFont="1" applyFill="1" applyBorder="1" applyAlignment="1">
      <alignment horizontal="center" vertical="center"/>
    </xf>
    <xf numFmtId="0" fontId="0" fillId="8" borderId="6" xfId="0" applyFill="1" applyBorder="1" applyAlignment="1">
      <alignment horizontal="center" vertical="center"/>
    </xf>
    <xf numFmtId="0" fontId="6" fillId="0" borderId="6" xfId="0" applyFont="1" applyBorder="1" applyAlignment="1">
      <alignment horizontal="left" vertical="center"/>
    </xf>
    <xf numFmtId="49" fontId="11" fillId="0" borderId="0" xfId="3" applyNumberFormat="1" applyBorder="1" applyAlignment="1">
      <alignment horizontal="center" vertical="center"/>
    </xf>
    <xf numFmtId="0" fontId="25" fillId="0" borderId="0" xfId="0" applyFont="1" applyAlignment="1">
      <alignment vertical="center"/>
    </xf>
    <xf numFmtId="49" fontId="11" fillId="0" borderId="6" xfId="3" applyNumberFormat="1" applyBorder="1" applyAlignment="1">
      <alignment horizontal="center" vertical="center"/>
    </xf>
    <xf numFmtId="0" fontId="3" fillId="0" borderId="3" xfId="0" applyFont="1" applyBorder="1" applyAlignment="1">
      <alignment horizontal="center"/>
    </xf>
    <xf numFmtId="0" fontId="0" fillId="0" borderId="0" xfId="0" applyAlignment="1">
      <alignment horizontal="center" vertical="center" wrapText="1"/>
    </xf>
    <xf numFmtId="0" fontId="26" fillId="0" borderId="0" xfId="0" applyFont="1"/>
    <xf numFmtId="0" fontId="0" fillId="0" borderId="0" xfId="0" applyAlignment="1">
      <alignment vertical="center" wrapText="1"/>
    </xf>
    <xf numFmtId="0" fontId="3" fillId="0" borderId="0" xfId="0" applyFont="1" applyAlignment="1">
      <alignment vertical="center" wrapText="1"/>
    </xf>
    <xf numFmtId="0" fontId="27" fillId="0" borderId="0" xfId="0" applyFont="1"/>
    <xf numFmtId="0" fontId="28" fillId="0" borderId="0" xfId="0" applyFont="1"/>
    <xf numFmtId="0" fontId="0" fillId="20" borderId="3" xfId="0" applyFill="1" applyBorder="1"/>
    <xf numFmtId="14" fontId="0" fillId="0" borderId="24" xfId="0" applyNumberFormat="1" applyBorder="1" applyAlignment="1">
      <alignment vertical="center"/>
    </xf>
    <xf numFmtId="0" fontId="0" fillId="0" borderId="6" xfId="0" applyBorder="1" applyAlignment="1">
      <alignment horizontal="center"/>
    </xf>
    <xf numFmtId="0" fontId="0" fillId="0" borderId="6" xfId="0" applyBorder="1" applyAlignment="1">
      <alignment horizontal="left"/>
    </xf>
    <xf numFmtId="165" fontId="0" fillId="0" borderId="6" xfId="0" applyNumberFormat="1" applyBorder="1" applyAlignment="1">
      <alignment horizontal="center"/>
    </xf>
    <xf numFmtId="14" fontId="0" fillId="0" borderId="6" xfId="0" applyNumberFormat="1" applyBorder="1" applyAlignment="1">
      <alignment horizontal="center"/>
    </xf>
    <xf numFmtId="164" fontId="0" fillId="0" borderId="6" xfId="1" applyNumberFormat="1" applyFont="1" applyFill="1" applyBorder="1" applyAlignment="1"/>
    <xf numFmtId="0" fontId="0" fillId="0" borderId="3" xfId="0" applyBorder="1" applyAlignment="1">
      <alignment vertical="center"/>
    </xf>
    <xf numFmtId="0" fontId="0" fillId="0" borderId="35" xfId="0" applyBorder="1" applyAlignment="1">
      <alignment horizontal="center"/>
    </xf>
    <xf numFmtId="0" fontId="0" fillId="0" borderId="35" xfId="0" applyBorder="1" applyAlignment="1">
      <alignment horizontal="left"/>
    </xf>
    <xf numFmtId="14" fontId="0" fillId="0" borderId="35" xfId="0" applyNumberFormat="1" applyBorder="1" applyAlignment="1">
      <alignment horizontal="center"/>
    </xf>
    <xf numFmtId="14" fontId="0" fillId="0" borderId="35" xfId="0" applyNumberFormat="1" applyBorder="1" applyAlignment="1">
      <alignment horizontal="left"/>
    </xf>
    <xf numFmtId="0" fontId="0" fillId="16" borderId="35" xfId="0" applyFill="1" applyBorder="1" applyAlignment="1">
      <alignment horizontal="center" vertical="center"/>
    </xf>
    <xf numFmtId="0" fontId="0" fillId="16" borderId="35" xfId="0" applyFill="1" applyBorder="1" applyAlignment="1">
      <alignment horizontal="left" vertical="center"/>
    </xf>
    <xf numFmtId="14" fontId="0" fillId="16" borderId="35" xfId="0" applyNumberFormat="1" applyFill="1" applyBorder="1" applyAlignment="1">
      <alignment horizontal="center" vertical="center"/>
    </xf>
    <xf numFmtId="14" fontId="0" fillId="16" borderId="35" xfId="0" applyNumberFormat="1" applyFill="1" applyBorder="1" applyAlignment="1">
      <alignment horizontal="left" vertical="center"/>
    </xf>
    <xf numFmtId="0" fontId="0" fillId="16" borderId="7" xfId="0" applyFill="1" applyBorder="1" applyAlignment="1">
      <alignment horizontal="center" vertical="center"/>
    </xf>
    <xf numFmtId="0" fontId="4" fillId="2" borderId="41" xfId="0" applyFont="1" applyFill="1" applyBorder="1" applyAlignment="1">
      <alignment vertical="center"/>
    </xf>
    <xf numFmtId="0" fontId="4" fillId="2" borderId="42" xfId="0" applyFont="1" applyFill="1" applyBorder="1" applyAlignment="1">
      <alignment vertical="center"/>
    </xf>
    <xf numFmtId="0" fontId="4" fillId="2" borderId="43" xfId="0" applyFont="1" applyFill="1" applyBorder="1" applyAlignment="1">
      <alignment vertical="center"/>
    </xf>
    <xf numFmtId="0" fontId="0" fillId="16" borderId="6" xfId="0" applyFill="1" applyBorder="1" applyAlignment="1">
      <alignment horizontal="center" vertical="center"/>
    </xf>
    <xf numFmtId="0" fontId="0" fillId="16" borderId="6" xfId="0" applyFill="1" applyBorder="1" applyAlignment="1">
      <alignment horizontal="left" vertical="center"/>
    </xf>
    <xf numFmtId="14" fontId="0" fillId="16" borderId="6" xfId="0" applyNumberFormat="1" applyFill="1" applyBorder="1" applyAlignment="1">
      <alignment horizontal="left" vertical="center"/>
    </xf>
    <xf numFmtId="14" fontId="0" fillId="16" borderId="6" xfId="0" applyNumberFormat="1" applyFill="1" applyBorder="1" applyAlignment="1">
      <alignment horizontal="center" vertical="center"/>
    </xf>
    <xf numFmtId="0" fontId="5" fillId="0" borderId="6" xfId="0" applyFont="1" applyBorder="1" applyAlignment="1">
      <alignment horizontal="center" vertical="center"/>
    </xf>
    <xf numFmtId="14" fontId="16" fillId="0" borderId="27" xfId="0" applyNumberFormat="1" applyFont="1" applyBorder="1" applyAlignment="1">
      <alignment horizontal="left" vertical="top"/>
    </xf>
    <xf numFmtId="14" fontId="16" fillId="4" borderId="0" xfId="0" applyNumberFormat="1" applyFont="1" applyFill="1" applyAlignment="1">
      <alignment horizontal="left" vertical="top"/>
    </xf>
    <xf numFmtId="14" fontId="16" fillId="19" borderId="0" xfId="0" applyNumberFormat="1" applyFont="1" applyFill="1" applyAlignment="1">
      <alignment horizontal="left" vertical="top"/>
    </xf>
    <xf numFmtId="49" fontId="11" fillId="0" borderId="6" xfId="3" applyNumberFormat="1" applyBorder="1" applyAlignment="1">
      <alignment vertical="center"/>
    </xf>
    <xf numFmtId="0" fontId="11" fillId="0" borderId="6" xfId="3" applyNumberFormat="1" applyBorder="1" applyAlignment="1">
      <alignment vertical="center"/>
    </xf>
    <xf numFmtId="49" fontId="11" fillId="0" borderId="24" xfId="3" applyNumberFormat="1" applyFill="1" applyBorder="1" applyAlignment="1"/>
    <xf numFmtId="49" fontId="0" fillId="0" borderId="3" xfId="0" applyNumberFormat="1" applyBorder="1"/>
    <xf numFmtId="0" fontId="2" fillId="0" borderId="3" xfId="0" applyFont="1" applyBorder="1"/>
    <xf numFmtId="0" fontId="5" fillId="0" borderId="3" xfId="0" applyFont="1" applyBorder="1"/>
    <xf numFmtId="14" fontId="0" fillId="6" borderId="3" xfId="0" applyNumberFormat="1" applyFill="1" applyBorder="1"/>
    <xf numFmtId="0" fontId="6" fillId="0" borderId="3" xfId="0" applyFont="1" applyBorder="1"/>
    <xf numFmtId="0" fontId="7" fillId="0" borderId="3" xfId="0" applyFont="1" applyBorder="1"/>
    <xf numFmtId="0" fontId="8" fillId="0" borderId="3" xfId="0" applyFont="1" applyBorder="1"/>
    <xf numFmtId="14" fontId="0" fillId="7" borderId="3" xfId="0" applyNumberFormat="1" applyFill="1" applyBorder="1"/>
    <xf numFmtId="0" fontId="0" fillId="7" borderId="3" xfId="0" applyFill="1" applyBorder="1"/>
    <xf numFmtId="14" fontId="0" fillId="18" borderId="3" xfId="0" applyNumberFormat="1" applyFill="1" applyBorder="1"/>
    <xf numFmtId="0" fontId="11" fillId="18" borderId="3" xfId="3" applyFill="1" applyBorder="1" applyAlignment="1"/>
    <xf numFmtId="14" fontId="0" fillId="0" borderId="6" xfId="0" applyNumberFormat="1" applyBorder="1"/>
    <xf numFmtId="0" fontId="11" fillId="0" borderId="0" xfId="3" applyAlignment="1"/>
    <xf numFmtId="14" fontId="0" fillId="0" borderId="24" xfId="0" applyNumberFormat="1" applyBorder="1"/>
    <xf numFmtId="0" fontId="11" fillId="0" borderId="0" xfId="3" applyBorder="1" applyAlignment="1"/>
    <xf numFmtId="0" fontId="11" fillId="18" borderId="0" xfId="3" applyFill="1" applyBorder="1" applyAlignment="1"/>
    <xf numFmtId="0" fontId="0" fillId="0" borderId="0" xfId="0" applyAlignment="1">
      <alignment horizontal="left"/>
    </xf>
    <xf numFmtId="0" fontId="29" fillId="0" borderId="0" xfId="0" applyFont="1" applyAlignment="1">
      <alignment horizontal="left" vertical="top" wrapText="1"/>
    </xf>
    <xf numFmtId="0" fontId="29" fillId="4" borderId="0" xfId="0" applyFont="1" applyFill="1" applyAlignment="1">
      <alignment horizontal="left" vertical="top" wrapText="1"/>
    </xf>
    <xf numFmtId="0" fontId="20" fillId="0" borderId="18" xfId="0" applyFont="1" applyBorder="1" applyAlignment="1">
      <alignment vertical="center"/>
    </xf>
    <xf numFmtId="0" fontId="20" fillId="0" borderId="19" xfId="0" applyFont="1" applyBorder="1" applyAlignment="1">
      <alignment vertical="center"/>
    </xf>
    <xf numFmtId="0" fontId="20" fillId="0" borderId="21" xfId="0" applyFont="1" applyBorder="1" applyAlignment="1">
      <alignment vertical="center"/>
    </xf>
    <xf numFmtId="0" fontId="20" fillId="0" borderId="22" xfId="0" applyFont="1" applyBorder="1" applyAlignment="1">
      <alignment vertical="center"/>
    </xf>
    <xf numFmtId="0" fontId="20" fillId="0" borderId="17" xfId="0" applyFont="1" applyBorder="1" applyAlignment="1">
      <alignment vertical="center"/>
    </xf>
    <xf numFmtId="0" fontId="20" fillId="0" borderId="20" xfId="0" applyFont="1" applyBorder="1" applyAlignment="1">
      <alignment vertical="center"/>
    </xf>
  </cellXfs>
  <cellStyles count="6">
    <cellStyle name="Hipervínculo" xfId="3" builtinId="8"/>
    <cellStyle name="Hyperlink" xfId="2" xr:uid="{4DCCE80E-3DBB-477D-9741-EC7E04643E36}"/>
    <cellStyle name="Millares" xfId="1" builtinId="3"/>
    <cellStyle name="Moneda" xfId="4" builtinId="4"/>
    <cellStyle name="Normal" xfId="0" builtinId="0"/>
    <cellStyle name="Porcentaje" xfId="5" builtinId="5"/>
  </cellStyles>
  <dxfs count="252">
    <dxf>
      <numFmt numFmtId="0" formatCode="General"/>
    </dxf>
    <dxf>
      <numFmt numFmtId="27" formatCode="d/mm/yyyy\ h:mm"/>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27" formatCode="d/mm/yyyy\ h:mm"/>
      <alignment horizontal="left" vertical="bottom" textRotation="0" wrapText="1" indent="0" justifyLastLine="0" shrinkToFit="0" readingOrder="0"/>
    </dxf>
    <dxf>
      <alignment horizontal="left" vertical="bottom" textRotation="0" wrapText="1" indent="0" justifyLastLine="0" shrinkToFit="0" readingOrder="0"/>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9F109"/>
        </patternFill>
      </fill>
    </dxf>
    <dxf>
      <fill>
        <patternFill>
          <bgColor theme="6" tint="0.39994506668294322"/>
        </patternFill>
      </fill>
    </dxf>
    <dxf>
      <fill>
        <patternFill>
          <bgColor rgb="FFCCFFCC"/>
        </patternFill>
      </fill>
    </dxf>
    <dxf>
      <fill>
        <patternFill>
          <bgColor rgb="FFFFCC99"/>
        </patternFill>
      </fill>
    </dxf>
    <dxf>
      <fill>
        <patternFill>
          <bgColor rgb="FFAFEEEE"/>
        </patternFill>
      </fill>
    </dxf>
    <dxf>
      <fill>
        <patternFill>
          <bgColor rgb="FFD8BFD8"/>
        </patternFill>
      </fill>
    </dxf>
    <dxf>
      <fill>
        <patternFill>
          <bgColor theme="4" tint="0.39994506668294322"/>
        </patternFill>
      </fill>
    </dxf>
    <dxf>
      <fill>
        <patternFill>
          <bgColor rgb="FFFFEC8B"/>
        </patternFill>
      </fill>
    </dxf>
    <dxf>
      <fill>
        <patternFill>
          <bgColor rgb="FFC8C8C8"/>
        </patternFill>
      </fill>
    </dxf>
    <dxf>
      <fill>
        <patternFill>
          <bgColor rgb="FFFF9696"/>
        </patternFill>
      </fill>
    </dxf>
    <dxf>
      <font>
        <color theme="0"/>
      </font>
      <fill>
        <patternFill>
          <bgColor rgb="FF2007B9"/>
        </patternFill>
      </fill>
    </dxf>
    <dxf>
      <fill>
        <patternFill>
          <bgColor rgb="FFFFE5CC"/>
        </patternFill>
      </fill>
    </dxf>
    <dxf>
      <fill>
        <patternFill>
          <bgColor rgb="FFADD8E6"/>
        </patternFill>
      </fill>
    </dxf>
    <dxf>
      <fill>
        <patternFill>
          <bgColor rgb="FFCCFFE5"/>
        </patternFill>
      </fill>
    </dxf>
    <dxf>
      <font>
        <color rgb="FF0070C0"/>
      </font>
      <fill>
        <patternFill>
          <bgColor theme="4" tint="0.59996337778862885"/>
        </patternFill>
      </fill>
    </dxf>
    <dxf>
      <font>
        <color rgb="FF006100"/>
      </font>
      <fill>
        <patternFill>
          <bgColor rgb="FFC6EFCE"/>
        </patternFill>
      </fill>
    </dxf>
    <dxf>
      <numFmt numFmtId="0" formatCode="General"/>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numFmt numFmtId="19" formatCode="d/mm/yyyy"/>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val="0"/>
        <i val="0"/>
        <strike val="0"/>
        <condense val="0"/>
        <extend val="0"/>
        <outline val="0"/>
        <shadow val="0"/>
        <u/>
        <vertAlign val="baseline"/>
        <sz val="10"/>
        <color indexed="12"/>
        <name val="Arial"/>
        <scheme val="none"/>
      </font>
      <alignment horizontal="left" vertical="top"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top" textRotation="0" wrapText="0" indent="0" justifyLastLine="0" shrinkToFit="0" readingOrder="0"/>
    </dxf>
    <dxf>
      <font>
        <b/>
        <i val="0"/>
        <strike val="0"/>
        <condense val="0"/>
        <extend val="0"/>
        <outline val="0"/>
        <shadow val="0"/>
        <u val="none"/>
        <vertAlign val="baseline"/>
        <sz val="10"/>
        <color indexed="9"/>
        <name val="Arial"/>
        <scheme val="none"/>
      </font>
      <fill>
        <patternFill patternType="solid">
          <fgColor indexed="64"/>
          <bgColor rgb="FF004E8C"/>
        </patternFill>
      </fill>
      <alignment horizontal="left" vertical="top" textRotation="0" wrapText="0" indent="0" justifyLastLine="0" shrinkToFit="0" readingOrder="0"/>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m/yyyy"/>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Aptos Narrow"/>
        <family val="2"/>
        <scheme val="none"/>
      </font>
      <fill>
        <patternFill patternType="none">
          <fgColor indexed="64"/>
          <bgColor auto="1"/>
        </patternFill>
      </fill>
      <alignment horizontal="general" vertical="center" textRotation="0" wrapText="1" indent="0" justifyLastLine="0" shrinkToFit="0" readingOrder="0"/>
      <border diagonalUp="0" diagonalDown="0">
        <left/>
        <right style="medium">
          <color indexed="64"/>
        </right>
        <top/>
        <bottom style="medium">
          <color indexed="64"/>
        </bottom>
      </border>
    </dxf>
    <dxf>
      <font>
        <b val="0"/>
        <i val="0"/>
        <strike val="0"/>
        <condense val="0"/>
        <extend val="0"/>
        <outline val="0"/>
        <shadow val="0"/>
        <u val="none"/>
        <vertAlign val="baseline"/>
        <sz val="11"/>
        <color rgb="FF000000"/>
        <name val="Aptos Narrow"/>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1"/>
        <color rgb="FF000000"/>
        <name val="Aptos Narrow"/>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1"/>
        <color rgb="FF000000"/>
        <name val="Aptos Narrow"/>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1"/>
        <color rgb="FF000000"/>
        <name val="Aptos Narrow"/>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1"/>
        <color rgb="FF000000"/>
        <name val="Aptos Narrow"/>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1"/>
        <color rgb="FF000000"/>
        <name val="Aptos Narrow"/>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1"/>
        <color rgb="FF000000"/>
        <name val="Aptos Narrow"/>
        <family val="2"/>
        <scheme val="none"/>
      </font>
      <fill>
        <patternFill patternType="none">
          <fgColor indexed="64"/>
          <bgColor auto="1"/>
        </patternFill>
      </fill>
      <alignment horizontal="right" vertical="center" textRotation="0" wrapText="1" indent="0" justifyLastLine="0" shrinkToFit="0" readingOrder="0"/>
      <border diagonalUp="0" diagonalDown="0" outline="0">
        <left/>
        <right style="medium">
          <color indexed="64"/>
        </right>
        <top/>
        <bottom style="medium">
          <color indexed="64"/>
        </bottom>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rgb="FF000000"/>
        <name val="Aptos Narrow"/>
        <family val="2"/>
        <scheme val="none"/>
      </font>
      <fill>
        <patternFill patternType="none">
          <fgColor indexed="64"/>
          <bgColor auto="1"/>
        </patternFill>
      </fill>
      <alignment horizontal="general" vertical="center" textRotation="0" wrapText="1" indent="0" justifyLastLine="0" shrinkToFit="0" readingOrder="0"/>
    </dxf>
    <dxf>
      <border outline="0">
        <bottom style="medium">
          <color indexed="64"/>
        </bottom>
      </border>
    </dxf>
    <dxf>
      <font>
        <b/>
        <i val="0"/>
        <strike val="0"/>
        <condense val="0"/>
        <extend val="0"/>
        <outline val="0"/>
        <shadow val="0"/>
        <u val="none"/>
        <vertAlign val="baseline"/>
        <sz val="11"/>
        <color theme="0"/>
        <name val="Aptos Narrow"/>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general" vertical="center" textRotation="0" wrapText="1" indent="0" justifyLastLine="0" shrinkToFit="0" readingOrder="0"/>
    </dxf>
    <dxf>
      <fill>
        <patternFill>
          <bgColor rgb="FFADD8E6"/>
        </patternFill>
      </fill>
    </dxf>
    <dxf>
      <fill>
        <patternFill>
          <bgColor rgb="FFCCFFE5"/>
        </patternFill>
      </fill>
    </dxf>
    <dxf>
      <fill>
        <patternFill>
          <bgColor rgb="FFFFE5CC"/>
        </patternFill>
      </fil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right style="thin">
          <color indexed="64"/>
        </right>
      </border>
    </dxf>
    <dxf>
      <font>
        <b val="0"/>
        <i val="0"/>
        <strike val="0"/>
        <condense val="0"/>
        <extend val="0"/>
        <outline val="0"/>
        <shadow val="0"/>
        <u val="none"/>
        <vertAlign val="baseline"/>
        <sz val="11"/>
        <color theme="1"/>
        <name val="Aptos Narrow"/>
        <family val="2"/>
        <scheme val="minor"/>
      </font>
      <numFmt numFmtId="19" formatCode="d/mm/yyyy"/>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9" formatCode="d/mm/yyyy"/>
      <fill>
        <patternFill patternType="solid">
          <fgColor theme="0" tint="-0.14999847407452621"/>
          <bgColor theme="0" tint="-0.1499984740745262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9" formatCode="d/mm/yyyy"/>
      <fill>
        <patternFill patternType="solid">
          <fgColor theme="0" tint="-0.14999847407452621"/>
          <bgColor theme="0" tint="-0.1499984740745262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9" formatCode="d/mm/yyyy"/>
      <fill>
        <patternFill patternType="solid">
          <fgColor theme="0" tint="-0.14999847407452621"/>
          <bgColor theme="0" tint="-0.1499984740745262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theme="0" tint="-0.14993743705557422"/>
        </left>
        <top style="thin">
          <color theme="0" tint="-0.14993743705557422"/>
        </top>
        <bottom style="thin">
          <color theme="0" tint="-0.14993743705557422"/>
        </bottom>
      </border>
    </dxf>
    <dxf>
      <border outline="0">
        <bottom style="thin">
          <color theme="1"/>
        </bottom>
      </border>
    </dxf>
    <dxf>
      <font>
        <b/>
        <i val="0"/>
        <strike val="0"/>
        <condense val="0"/>
        <extend val="0"/>
        <outline val="0"/>
        <shadow val="0"/>
        <u val="none"/>
        <vertAlign val="baseline"/>
        <sz val="11"/>
        <color theme="0" tint="-4.9989318521683403E-2"/>
        <name val="Aptos Narrow"/>
        <family val="2"/>
        <scheme val="minor"/>
      </font>
      <fill>
        <patternFill patternType="solid">
          <fgColor indexed="64"/>
          <bgColor rgb="FFD62426"/>
        </patternFill>
      </fill>
      <alignment horizontal="general" vertical="center" textRotation="0" wrapText="0" indent="0" justifyLastLine="0" shrinkToFit="0" readingOrder="0"/>
      <border diagonalUp="0" diagonalDown="0" outline="0">
        <left style="thin">
          <color theme="0" tint="-0.14993743705557422"/>
        </left>
        <right style="thin">
          <color theme="0" tint="-0.14993743705557422"/>
        </right>
        <top/>
        <bottom/>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right style="thin">
          <color indexed="64"/>
        </right>
      </border>
    </dxf>
    <dxf>
      <font>
        <b val="0"/>
        <i val="0"/>
        <strike val="0"/>
        <condense val="0"/>
        <extend val="0"/>
        <outline val="0"/>
        <shadow val="0"/>
        <u val="none"/>
        <vertAlign val="baseline"/>
        <sz val="11"/>
        <color theme="1"/>
        <name val="Aptos Narrow"/>
        <family val="2"/>
        <scheme val="minor"/>
      </font>
      <numFmt numFmtId="19" formatCode="d/mm/yyyy"/>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solid">
          <fgColor theme="0" tint="-0.14999847407452621"/>
          <bgColor theme="0" tint="-0.1499984740745262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numFmt numFmtId="19" formatCode="d/mm/yyyy"/>
      <fill>
        <patternFill patternType="solid">
          <fgColor theme="0" tint="-0.14999847407452621"/>
          <bgColor theme="0" tint="-0.1499984740745262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9" formatCode="d/mm/yyyy"/>
      <fill>
        <patternFill patternType="solid">
          <fgColor theme="0" tint="-0.14999847407452621"/>
          <bgColor theme="0" tint="-0.1499984740745262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9" formatCode="d/mm/yyyy"/>
      <fill>
        <patternFill patternType="solid">
          <fgColor theme="0" tint="-0.14999847407452621"/>
          <bgColor theme="0" tint="-0.1499984740745262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theme="0" tint="-0.14993743705557422"/>
        </left>
        <top style="thin">
          <color theme="0" tint="-0.14993743705557422"/>
        </top>
        <bottom style="thin">
          <color theme="0" tint="-0.14993743705557422"/>
        </bottom>
      </border>
    </dxf>
    <dxf>
      <border outline="0">
        <bottom style="thin">
          <color theme="1"/>
        </bottom>
      </border>
    </dxf>
    <dxf>
      <font>
        <b/>
        <i val="0"/>
        <strike val="0"/>
        <condense val="0"/>
        <extend val="0"/>
        <outline val="0"/>
        <shadow val="0"/>
        <u val="none"/>
        <vertAlign val="baseline"/>
        <sz val="11"/>
        <color theme="0" tint="-4.9989318521683403E-2"/>
        <name val="Aptos Narrow"/>
        <family val="2"/>
        <scheme val="minor"/>
      </font>
      <fill>
        <patternFill patternType="solid">
          <fgColor indexed="64"/>
          <bgColor rgb="FFD62426"/>
        </patternFill>
      </fill>
      <alignment horizontal="general" vertical="center" textRotation="0" wrapText="0" indent="0" justifyLastLine="0" shrinkToFit="0" readingOrder="0"/>
      <border diagonalUp="0" diagonalDown="0" outline="0">
        <left style="thin">
          <color theme="0" tint="-0.14993743705557422"/>
        </left>
        <right style="thin">
          <color theme="0" tint="-0.14993743705557422"/>
        </right>
        <top/>
        <bottom/>
      </border>
    </dxf>
    <dxf>
      <fill>
        <patternFill>
          <bgColor rgb="FFADD8E6"/>
        </patternFill>
      </fill>
    </dxf>
    <dxf>
      <fill>
        <patternFill>
          <bgColor rgb="FFCCFFE5"/>
        </patternFill>
      </fill>
    </dxf>
    <dxf>
      <fill>
        <patternFill>
          <bgColor rgb="FFFFE5CC"/>
        </patternFill>
      </fill>
    </dxf>
    <dxf>
      <font>
        <color rgb="FF9C0006"/>
      </font>
      <fill>
        <patternFill>
          <bgColor rgb="FFFFC7CE"/>
        </patternFill>
      </fill>
    </dxf>
    <dxf>
      <fill>
        <patternFill>
          <bgColor rgb="FFADD8E6"/>
        </patternFill>
      </fill>
    </dxf>
    <dxf>
      <fill>
        <patternFill>
          <bgColor rgb="FFCCFFE5"/>
        </patternFill>
      </fill>
    </dxf>
    <dxf>
      <fill>
        <patternFill>
          <bgColor rgb="FFFFE5CC"/>
        </patternFill>
      </fill>
    </dxf>
    <dxf>
      <fill>
        <patternFill>
          <bgColor theme="6" tint="0.39994506668294322"/>
        </patternFill>
      </fill>
    </dxf>
    <dxf>
      <fill>
        <patternFill>
          <bgColor rgb="FFCCFFCC"/>
        </patternFill>
      </fill>
    </dxf>
    <dxf>
      <fill>
        <patternFill>
          <bgColor rgb="FFFFCC99"/>
        </patternFill>
      </fill>
    </dxf>
    <dxf>
      <fill>
        <patternFill>
          <bgColor rgb="FFAFEEEE"/>
        </patternFill>
      </fill>
    </dxf>
    <dxf>
      <fill>
        <patternFill>
          <bgColor rgb="FFD8BFD8"/>
        </patternFill>
      </fill>
    </dxf>
    <dxf>
      <font>
        <color theme="0"/>
      </font>
      <fill>
        <patternFill>
          <bgColor rgb="FF2007B9"/>
        </patternFill>
      </fill>
    </dxf>
    <dxf>
      <fill>
        <patternFill>
          <bgColor rgb="FFFFEC8B"/>
        </patternFill>
      </fill>
    </dxf>
    <dxf>
      <fill>
        <patternFill>
          <bgColor rgb="FF09F109"/>
        </patternFill>
      </fill>
    </dxf>
    <dxf>
      <fill>
        <patternFill>
          <bgColor rgb="FFFF9696"/>
        </patternFill>
      </fill>
    </dxf>
    <dxf>
      <fill>
        <patternFill>
          <bgColor theme="4" tint="0.39994506668294322"/>
        </patternFill>
      </fill>
    </dxf>
    <dxf>
      <fill>
        <patternFill>
          <bgColor rgb="FFC8C8C8"/>
        </patternFill>
      </fill>
    </dxf>
    <dxf>
      <font>
        <color rgb="FF9C0006"/>
      </font>
      <fill>
        <patternFill>
          <bgColor rgb="FFFFC7CE"/>
        </patternFill>
      </fill>
    </dxf>
    <dxf>
      <fill>
        <patternFill>
          <bgColor theme="6" tint="0.39994506668294322"/>
        </patternFill>
      </fill>
    </dxf>
    <dxf>
      <fill>
        <patternFill>
          <bgColor rgb="FFCCFFCC"/>
        </patternFill>
      </fill>
    </dxf>
    <dxf>
      <fill>
        <patternFill>
          <bgColor rgb="FFFFCC99"/>
        </patternFill>
      </fill>
    </dxf>
    <dxf>
      <fill>
        <patternFill>
          <bgColor rgb="FFAFEEEE"/>
        </patternFill>
      </fill>
    </dxf>
    <dxf>
      <fill>
        <patternFill>
          <bgColor rgb="FFD8BFD8"/>
        </patternFill>
      </fill>
    </dxf>
    <dxf>
      <font>
        <color theme="0"/>
      </font>
      <fill>
        <patternFill>
          <bgColor rgb="FF2007B9"/>
        </patternFill>
      </fill>
    </dxf>
    <dxf>
      <fill>
        <patternFill>
          <bgColor rgb="FFFFEC8B"/>
        </patternFill>
      </fill>
    </dxf>
    <dxf>
      <fill>
        <patternFill>
          <bgColor rgb="FF09F109"/>
        </patternFill>
      </fill>
    </dxf>
    <dxf>
      <fill>
        <patternFill>
          <bgColor rgb="FFFF9696"/>
        </patternFill>
      </fill>
    </dxf>
    <dxf>
      <fill>
        <patternFill>
          <bgColor theme="4" tint="0.39994506668294322"/>
        </patternFill>
      </fill>
    </dxf>
    <dxf>
      <fill>
        <patternFill>
          <bgColor rgb="FFC8C8C8"/>
        </patternFill>
      </fill>
    </dxf>
    <dxf>
      <fill>
        <patternFill patternType="none">
          <bgColor auto="1"/>
        </patternFill>
      </fill>
      <alignment textRotation="0" wrapText="0" indent="0" justifyLastLine="0" shrinkToFit="0" readingOrder="0"/>
    </dxf>
    <dxf>
      <numFmt numFmtId="0" formatCode="General"/>
      <fill>
        <patternFill patternType="none">
          <bgColor auto="1"/>
        </patternFill>
      </fill>
      <alignment textRotation="0" wrapText="0" indent="0" justifyLastLine="0" shrinkToFit="0" readingOrder="0"/>
    </dxf>
    <dxf>
      <numFmt numFmtId="1" formatCode="0"/>
      <fill>
        <patternFill patternType="none">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textRotation="0" wrapText="0" indent="0" justifyLastLine="0" shrinkToFit="0" readingOrder="0"/>
    </dxf>
    <dxf>
      <numFmt numFmtId="0" formatCode="General"/>
      <fill>
        <patternFill patternType="none">
          <bgColor auto="1"/>
        </patternFill>
      </fill>
      <alignment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30" formatCode="@"/>
      <fill>
        <patternFill patternType="none">
          <bgColor auto="1"/>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horizontal="lef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horizontal="lef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4" formatCode="_-* #,##0_-;\-* #,##0_-;_-* &quot;-&quot;??_-;_-@_-"/>
      <fill>
        <patternFill patternType="none">
          <fgColor indexed="64"/>
          <bgColor indexed="65"/>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numFmt numFmtId="164" formatCode="_-* #,##0_-;\-* #,##0_-;_-* &quot;-&quot;??_-;_-@_-"/>
      <fill>
        <patternFill patternType="none">
          <bgColor auto="1"/>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_ ;[Red]\-0\ "/>
      <fill>
        <patternFill patternType="none">
          <bgColor auto="1"/>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mm/yyyy"/>
      <fill>
        <patternFill patternType="none">
          <bgColor auto="1"/>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lef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theme="0" tint="-0.14993743705557422"/>
        </left>
        <right style="thin">
          <color theme="0" tint="-0.14993743705557422"/>
        </right>
        <top style="thin">
          <color theme="0" tint="-0.14993743705557422"/>
        </top>
        <bottom style="thin">
          <color theme="0" tint="-0.14993743705557422"/>
        </bottom>
      </border>
    </dxf>
    <dxf>
      <fill>
        <patternFill patternType="none">
          <bgColor auto="1"/>
        </patternFill>
      </fill>
      <alignment textRotation="0" wrapText="0" indent="0" justifyLastLine="0" shrinkToFit="0" readingOrder="0"/>
    </dxf>
    <dxf>
      <border outline="0">
        <bottom style="thin">
          <color theme="0" tint="-0.14993743705557422"/>
        </bottom>
      </border>
    </dxf>
    <dxf>
      <font>
        <b/>
        <i val="0"/>
        <strike val="0"/>
        <condense val="0"/>
        <extend val="0"/>
        <outline val="0"/>
        <shadow val="0"/>
        <u val="none"/>
        <vertAlign val="baseline"/>
        <sz val="11"/>
        <color theme="0" tint="-4.9989318521683403E-2"/>
        <name val="Aptos Narrow"/>
        <family val="2"/>
        <scheme val="minor"/>
      </font>
      <fill>
        <patternFill patternType="solid">
          <fgColor indexed="64"/>
          <bgColor rgb="FFD62426"/>
        </patternFill>
      </fill>
      <alignment horizontal="general" vertical="center" textRotation="0" wrapText="0" indent="0" justifyLastLine="0" shrinkToFit="0" readingOrder="0"/>
      <border diagonalUp="0" diagonalDown="0" outline="0">
        <left style="thin">
          <color theme="0" tint="-0.14993743705557422"/>
        </left>
        <right style="thin">
          <color theme="0" tint="-0.14993743705557422"/>
        </right>
        <top/>
        <bottom/>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E5CC"/>
        </patternFill>
      </fill>
    </dxf>
    <dxf>
      <fill>
        <patternFill>
          <bgColor rgb="FFADD8E6"/>
        </patternFill>
      </fill>
    </dxf>
    <dxf>
      <fill>
        <patternFill>
          <bgColor rgb="FFCCFFE5"/>
        </patternFill>
      </fill>
    </dxf>
    <dxf>
      <fill>
        <patternFill>
          <bgColor rgb="FF09F109"/>
        </patternFill>
      </fill>
    </dxf>
    <dxf>
      <fill>
        <patternFill>
          <bgColor theme="6" tint="0.39994506668294322"/>
        </patternFill>
      </fill>
    </dxf>
    <dxf>
      <fill>
        <patternFill>
          <bgColor rgb="FFCCFFCC"/>
        </patternFill>
      </fill>
    </dxf>
    <dxf>
      <fill>
        <patternFill>
          <bgColor rgb="FFFFCC99"/>
        </patternFill>
      </fill>
    </dxf>
    <dxf>
      <fill>
        <patternFill>
          <bgColor rgb="FFAFEEEE"/>
        </patternFill>
      </fill>
    </dxf>
    <dxf>
      <fill>
        <patternFill>
          <bgColor rgb="FFD8BFD8"/>
        </patternFill>
      </fill>
    </dxf>
    <dxf>
      <fill>
        <patternFill>
          <bgColor theme="4" tint="0.39994506668294322"/>
        </patternFill>
      </fill>
    </dxf>
    <dxf>
      <fill>
        <patternFill>
          <bgColor rgb="FFFFEC8B"/>
        </patternFill>
      </fill>
    </dxf>
    <dxf>
      <fill>
        <patternFill>
          <bgColor rgb="FFC8C8C8"/>
        </patternFill>
      </fill>
    </dxf>
    <dxf>
      <fill>
        <patternFill>
          <bgColor rgb="FFFF9696"/>
        </patternFill>
      </fill>
    </dxf>
    <dxf>
      <font>
        <color theme="0"/>
      </font>
      <fill>
        <patternFill>
          <bgColor rgb="FF2007B9"/>
        </patternFill>
      </fill>
    </dxf>
    <dxf>
      <fill>
        <patternFill>
          <bgColor rgb="FFADD8E6"/>
        </patternFill>
      </fill>
    </dxf>
    <dxf>
      <fill>
        <patternFill>
          <bgColor rgb="FFCCFFE5"/>
        </patternFill>
      </fill>
    </dxf>
    <dxf>
      <fill>
        <patternFill>
          <bgColor rgb="FFFFE5CC"/>
        </patternFill>
      </fill>
    </dxf>
    <dxf>
      <fill>
        <patternFill>
          <bgColor rgb="FFA1F5A1"/>
        </patternFill>
      </fill>
    </dxf>
    <dxf>
      <fill>
        <patternFill>
          <bgColor theme="6" tint="0.39994506668294322"/>
        </patternFill>
      </fill>
    </dxf>
    <dxf>
      <fill>
        <patternFill>
          <bgColor rgb="FFCCFFCC"/>
        </patternFill>
      </fill>
    </dxf>
    <dxf>
      <fill>
        <patternFill>
          <bgColor rgb="FFFFCC99"/>
        </patternFill>
      </fill>
    </dxf>
    <dxf>
      <fill>
        <patternFill>
          <bgColor rgb="FFAFEEEE"/>
        </patternFill>
      </fill>
    </dxf>
    <dxf>
      <fill>
        <patternFill>
          <bgColor rgb="FFD8BFD8"/>
        </patternFill>
      </fill>
    </dxf>
    <dxf>
      <fill>
        <patternFill>
          <bgColor theme="4" tint="0.39994506668294322"/>
        </patternFill>
      </fill>
    </dxf>
    <dxf>
      <fill>
        <patternFill>
          <bgColor rgb="FFFFEC8B"/>
        </patternFill>
      </fill>
    </dxf>
    <dxf>
      <fill>
        <patternFill>
          <bgColor rgb="FFC8C8C8"/>
        </patternFill>
      </fill>
    </dxf>
    <dxf>
      <fill>
        <patternFill>
          <bgColor rgb="FFFF9696"/>
        </patternFill>
      </fill>
    </dxf>
    <dxf>
      <font>
        <color theme="0"/>
      </font>
      <fill>
        <patternFill>
          <bgColor rgb="FF2007B9"/>
        </patternFill>
      </fill>
    </dxf>
    <dxf>
      <fill>
        <patternFill>
          <bgColor rgb="FFA1F5A1"/>
        </patternFill>
      </fill>
    </dxf>
    <dxf>
      <fill>
        <patternFill>
          <bgColor rgb="FFB2EBB2"/>
        </patternFill>
      </fill>
    </dxf>
    <dxf>
      <fill>
        <patternFill>
          <bgColor rgb="FFCCFFCC"/>
        </patternFill>
      </fill>
    </dxf>
    <dxf>
      <fill>
        <patternFill>
          <bgColor rgb="FFAFEEEE"/>
        </patternFill>
      </fill>
    </dxf>
    <dxf>
      <fill>
        <patternFill>
          <bgColor rgb="FFD8BFD8"/>
        </patternFill>
      </fill>
    </dxf>
    <dxf>
      <fill>
        <patternFill>
          <bgColor theme="4" tint="0.39994506668294322"/>
        </patternFill>
      </fill>
    </dxf>
    <dxf>
      <fill>
        <patternFill>
          <bgColor rgb="FFFFEC8B"/>
        </patternFill>
      </fill>
    </dxf>
    <dxf>
      <fill>
        <patternFill>
          <bgColor rgb="FFC8C8C8"/>
        </patternFill>
      </fill>
    </dxf>
    <dxf>
      <fill>
        <patternFill>
          <bgColor rgb="FFFF9696"/>
        </patternFill>
      </fill>
    </dxf>
    <dxf>
      <fill>
        <patternFill>
          <bgColor rgb="FFFFCC99"/>
        </patternFill>
      </fill>
    </dxf>
    <dxf>
      <fill>
        <patternFill>
          <bgColor rgb="FFA1F5A1"/>
        </patternFill>
      </fill>
    </dxf>
    <dxf>
      <fill>
        <patternFill>
          <bgColor rgb="FFB2EBB2"/>
        </patternFill>
      </fill>
    </dxf>
    <dxf>
      <fill>
        <patternFill>
          <bgColor rgb="FFCCFFCC"/>
        </patternFill>
      </fill>
    </dxf>
    <dxf>
      <fill>
        <patternFill>
          <bgColor rgb="FFFFCC99"/>
        </patternFill>
      </fill>
    </dxf>
    <dxf>
      <fill>
        <patternFill>
          <bgColor rgb="FFAFEEEE"/>
        </patternFill>
      </fill>
    </dxf>
    <dxf>
      <fill>
        <patternFill>
          <bgColor rgb="FFD8BFD8"/>
        </patternFill>
      </fill>
    </dxf>
    <dxf>
      <fill>
        <patternFill>
          <bgColor theme="4" tint="0.39994506668294322"/>
        </patternFill>
      </fill>
    </dxf>
    <dxf>
      <fill>
        <patternFill>
          <bgColor rgb="FFFFEC8B"/>
        </patternFill>
      </fill>
    </dxf>
    <dxf>
      <fill>
        <patternFill>
          <bgColor rgb="FFC8C8C8"/>
        </patternFill>
      </fill>
    </dxf>
    <dxf>
      <fill>
        <patternFill>
          <bgColor rgb="FFFF9696"/>
        </patternFill>
      </fill>
    </dxf>
    <dxf>
      <fill>
        <patternFill>
          <bgColor rgb="FFCCFFE5"/>
        </patternFill>
      </fill>
    </dxf>
    <dxf>
      <fill>
        <patternFill>
          <bgColor rgb="FFADD8E6"/>
        </patternFill>
      </fill>
    </dxf>
    <dxf>
      <fill>
        <patternFill>
          <bgColor rgb="FFFFE5CC"/>
        </patternFill>
      </fill>
    </dxf>
    <dxf>
      <fill>
        <patternFill>
          <bgColor theme="6" tint="0.39994506668294322"/>
        </patternFill>
      </fill>
    </dxf>
    <dxf>
      <fill>
        <patternFill>
          <bgColor rgb="FFCCFFCC"/>
        </patternFill>
      </fill>
    </dxf>
    <dxf>
      <fill>
        <patternFill>
          <bgColor rgb="FFFFCC99"/>
        </patternFill>
      </fill>
    </dxf>
    <dxf>
      <fill>
        <patternFill>
          <bgColor rgb="FFAFEEEE"/>
        </patternFill>
      </fill>
    </dxf>
    <dxf>
      <fill>
        <patternFill>
          <bgColor rgb="FFD8BFD8"/>
        </patternFill>
      </fill>
    </dxf>
    <dxf>
      <font>
        <color theme="0"/>
      </font>
      <fill>
        <patternFill>
          <bgColor rgb="FF2007B9"/>
        </patternFill>
      </fill>
    </dxf>
    <dxf>
      <fill>
        <patternFill>
          <bgColor rgb="FFFFEC8B"/>
        </patternFill>
      </fill>
    </dxf>
    <dxf>
      <fill>
        <patternFill>
          <bgColor rgb="FF09F109"/>
        </patternFill>
      </fill>
    </dxf>
    <dxf>
      <fill>
        <patternFill>
          <bgColor rgb="FFFF9696"/>
        </patternFill>
      </fill>
    </dxf>
    <dxf>
      <fill>
        <patternFill>
          <bgColor theme="4" tint="0.39994506668294322"/>
        </patternFill>
      </fill>
    </dxf>
    <dxf>
      <fill>
        <patternFill>
          <bgColor rgb="FFC8C8C8"/>
        </patternFill>
      </fill>
    </dxf>
    <dxf>
      <font>
        <color rgb="FF0070C0"/>
      </font>
      <fill>
        <patternFill>
          <bgColor theme="4" tint="0.59996337778862885"/>
        </patternFill>
      </fill>
    </dxf>
    <dxf>
      <font>
        <color rgb="FF006100"/>
      </font>
      <fill>
        <patternFill>
          <bgColor rgb="FFC6EFCE"/>
        </patternFill>
      </fill>
    </dxf>
  </dxfs>
  <tableStyles count="0" defaultTableStyle="TableStyleMedium2" defaultPivotStyle="PivotStyleLight16"/>
  <colors>
    <mruColors>
      <color rgb="FF09F109"/>
      <color rgb="FF2007B9"/>
      <color rgb="FF0ED626"/>
      <color rgb="FFCCFFE5"/>
      <color rgb="FFFFE5CC"/>
      <color rgb="FF88A9F4"/>
      <color rgb="FF529EA0"/>
      <color rgb="FF2564EF"/>
      <color rgb="FFEC304F"/>
      <color rgb="FF2998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ustomXml" Target="../customXml/item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calcChain" Target="calcChain.xml"/><Relationship Id="rId27"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16669</xdr:rowOff>
    </xdr:from>
    <xdr:to>
      <xdr:col>1</xdr:col>
      <xdr:colOff>202406</xdr:colOff>
      <xdr:row>6</xdr:row>
      <xdr:rowOff>142875</xdr:rowOff>
    </xdr:to>
    <mc:AlternateContent xmlns:mc="http://schemas.openxmlformats.org/markup-compatibility/2006" xmlns:sle15="http://schemas.microsoft.com/office/drawing/2012/slicer">
      <mc:Choice Requires="sle15">
        <xdr:graphicFrame macro="">
          <xdr:nvGraphicFramePr>
            <xdr:cNvPr id="2" name="Progreso">
              <a:extLst>
                <a:ext uri="{FF2B5EF4-FFF2-40B4-BE49-F238E27FC236}">
                  <a16:creationId xmlns:a16="http://schemas.microsoft.com/office/drawing/2014/main" id="{A6BCC5A8-B28D-FF93-822C-F3C73063CD95}"/>
                </a:ext>
              </a:extLst>
            </xdr:cNvPr>
            <xdr:cNvGraphicFramePr/>
          </xdr:nvGraphicFramePr>
          <xdr:xfrm>
            <a:off x="0" y="0"/>
            <a:ext cx="0" cy="0"/>
          </xdr:xfrm>
          <a:graphic>
            <a:graphicData uri="http://schemas.microsoft.com/office/drawing/2010/slicer">
              <sle:slicer xmlns:sle="http://schemas.microsoft.com/office/drawing/2010/slicer" name="Progreso"/>
            </a:graphicData>
          </a:graphic>
        </xdr:graphicFrame>
      </mc:Choice>
      <mc:Fallback xmlns="">
        <xdr:sp macro="" textlink="">
          <xdr:nvSpPr>
            <xdr:cNvPr id="0" name=""/>
            <xdr:cNvSpPr>
              <a:spLocks noTextEdit="1"/>
            </xdr:cNvSpPr>
          </xdr:nvSpPr>
          <xdr:spPr>
            <a:xfrm>
              <a:off x="0" y="16669"/>
              <a:ext cx="1188244" cy="1019175"/>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1</xdr:col>
      <xdr:colOff>290513</xdr:colOff>
      <xdr:row>0</xdr:row>
      <xdr:rowOff>0</xdr:rowOff>
    </xdr:from>
    <xdr:to>
      <xdr:col>2</xdr:col>
      <xdr:colOff>130968</xdr:colOff>
      <xdr:row>6</xdr:row>
      <xdr:rowOff>142874</xdr:rowOff>
    </xdr:to>
    <mc:AlternateContent xmlns:mc="http://schemas.openxmlformats.org/markup-compatibility/2006" xmlns:sle15="http://schemas.microsoft.com/office/drawing/2012/slicer">
      <mc:Choice Requires="sle15">
        <xdr:graphicFrame macro="">
          <xdr:nvGraphicFramePr>
            <xdr:cNvPr id="4" name="Estado">
              <a:extLst>
                <a:ext uri="{FF2B5EF4-FFF2-40B4-BE49-F238E27FC236}">
                  <a16:creationId xmlns:a16="http://schemas.microsoft.com/office/drawing/2014/main" id="{11D5D9CC-E96D-B79C-959F-7F892CAF6298}"/>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945357" y="0"/>
              <a:ext cx="1471611" cy="1057275"/>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2</xdr:col>
      <xdr:colOff>152401</xdr:colOff>
      <xdr:row>0</xdr:row>
      <xdr:rowOff>0</xdr:rowOff>
    </xdr:from>
    <xdr:to>
      <xdr:col>2</xdr:col>
      <xdr:colOff>1202532</xdr:colOff>
      <xdr:row>6</xdr:row>
      <xdr:rowOff>133350</xdr:rowOff>
    </xdr:to>
    <mc:AlternateContent xmlns:mc="http://schemas.openxmlformats.org/markup-compatibility/2006" xmlns:sle15="http://schemas.microsoft.com/office/drawing/2012/slicer">
      <mc:Choice Requires="sle15">
        <xdr:graphicFrame macro="">
          <xdr:nvGraphicFramePr>
            <xdr:cNvPr id="3" name="Proveedor">
              <a:extLst>
                <a:ext uri="{FF2B5EF4-FFF2-40B4-BE49-F238E27FC236}">
                  <a16:creationId xmlns:a16="http://schemas.microsoft.com/office/drawing/2014/main" id="{4394C227-C0DF-C840-5EE7-C050CA5DB677}"/>
                </a:ext>
              </a:extLst>
            </xdr:cNvP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2438401" y="0"/>
              <a:ext cx="1050131" cy="1059656"/>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2</xdr:col>
      <xdr:colOff>1240632</xdr:colOff>
      <xdr:row>0</xdr:row>
      <xdr:rowOff>0</xdr:rowOff>
    </xdr:from>
    <xdr:to>
      <xdr:col>2</xdr:col>
      <xdr:colOff>2262188</xdr:colOff>
      <xdr:row>6</xdr:row>
      <xdr:rowOff>142874</xdr:rowOff>
    </xdr:to>
    <mc:AlternateContent xmlns:mc="http://schemas.openxmlformats.org/markup-compatibility/2006" xmlns:sle15="http://schemas.microsoft.com/office/drawing/2012/slicer">
      <mc:Choice Requires="sle15">
        <xdr:graphicFrame macro="">
          <xdr:nvGraphicFramePr>
            <xdr:cNvPr id="5" name="Tipo">
              <a:extLst>
                <a:ext uri="{FF2B5EF4-FFF2-40B4-BE49-F238E27FC236}">
                  <a16:creationId xmlns:a16="http://schemas.microsoft.com/office/drawing/2014/main" id="{873E2AA7-BD21-399C-BF2B-63475A135E1C}"/>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526631" y="0"/>
              <a:ext cx="1307307" cy="1083469"/>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xdr:from>
      <xdr:col>3</xdr:col>
      <xdr:colOff>428624</xdr:colOff>
      <xdr:row>0</xdr:row>
      <xdr:rowOff>119061</xdr:rowOff>
    </xdr:from>
    <xdr:to>
      <xdr:col>4</xdr:col>
      <xdr:colOff>761999</xdr:colOff>
      <xdr:row>2</xdr:row>
      <xdr:rowOff>95249</xdr:rowOff>
    </xdr:to>
    <xdr:sp macro="[0]!QuitarFiltrosTabla" textlink="">
      <xdr:nvSpPr>
        <xdr:cNvPr id="6" name="Rectángulo: esquinas redondeadas 5">
          <a:extLst>
            <a:ext uri="{FF2B5EF4-FFF2-40B4-BE49-F238E27FC236}">
              <a16:creationId xmlns:a16="http://schemas.microsoft.com/office/drawing/2014/main" id="{62D8F916-8642-7806-0750-7BDCD345B1F6}"/>
            </a:ext>
          </a:extLst>
        </xdr:cNvPr>
        <xdr:cNvSpPr/>
      </xdr:nvSpPr>
      <xdr:spPr>
        <a:xfrm>
          <a:off x="6084093" y="119061"/>
          <a:ext cx="1214437" cy="357188"/>
        </a:xfrm>
        <a:prstGeom prst="roundRect">
          <a:avLst/>
        </a:prstGeom>
        <a:solidFill>
          <a:schemeClr val="accent5">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s-CO" sz="1400"/>
            <a:t>X</a:t>
          </a:r>
          <a:r>
            <a:rPr lang="es-CO" sz="1400" baseline="0"/>
            <a:t> FILTROS</a:t>
          </a:r>
          <a:endParaRPr lang="es-CO" sz="1400"/>
        </a:p>
      </xdr:txBody>
    </xdr:sp>
    <xdr:clientData/>
  </xdr:twoCellAnchor>
  <xdr:twoCellAnchor>
    <xdr:from>
      <xdr:col>3</xdr:col>
      <xdr:colOff>426243</xdr:colOff>
      <xdr:row>3</xdr:row>
      <xdr:rowOff>33336</xdr:rowOff>
    </xdr:from>
    <xdr:to>
      <xdr:col>4</xdr:col>
      <xdr:colOff>759618</xdr:colOff>
      <xdr:row>4</xdr:row>
      <xdr:rowOff>190500</xdr:rowOff>
    </xdr:to>
    <xdr:sp macro="[0]!BuscarYabrirCarpetaPorINC" textlink="">
      <xdr:nvSpPr>
        <xdr:cNvPr id="7" name="Rectángulo: esquinas redondeadas 6">
          <a:extLst>
            <a:ext uri="{FF2B5EF4-FFF2-40B4-BE49-F238E27FC236}">
              <a16:creationId xmlns:a16="http://schemas.microsoft.com/office/drawing/2014/main" id="{1CBB2EF6-0B73-4AEE-BD43-66540686C102}"/>
            </a:ext>
          </a:extLst>
        </xdr:cNvPr>
        <xdr:cNvSpPr/>
      </xdr:nvSpPr>
      <xdr:spPr>
        <a:xfrm>
          <a:off x="6398978" y="649660"/>
          <a:ext cx="1207434" cy="370075"/>
        </a:xfrm>
        <a:prstGeom prst="roundRect">
          <a:avLst/>
        </a:prstGeom>
        <a:solidFill>
          <a:schemeClr val="accent4">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s-CO" sz="1400"/>
            <a:t>ABRIR</a:t>
          </a:r>
          <a:r>
            <a:rPr lang="es-CO" sz="1400" baseline="0"/>
            <a:t> DOC</a:t>
          </a:r>
          <a:endParaRPr lang="es-CO" sz="1400"/>
        </a:p>
      </xdr:txBody>
    </xdr:sp>
    <xdr:clientData/>
  </xdr:twoCellAnchor>
  <xdr:twoCellAnchor editAs="absolute">
    <xdr:from>
      <xdr:col>2</xdr:col>
      <xdr:colOff>2357437</xdr:colOff>
      <xdr:row>0</xdr:row>
      <xdr:rowOff>23810</xdr:rowOff>
    </xdr:from>
    <xdr:to>
      <xdr:col>2</xdr:col>
      <xdr:colOff>3402281</xdr:colOff>
      <xdr:row>6</xdr:row>
      <xdr:rowOff>152399</xdr:rowOff>
    </xdr:to>
    <mc:AlternateContent xmlns:mc="http://schemas.openxmlformats.org/markup-compatibility/2006" xmlns:sle15="http://schemas.microsoft.com/office/drawing/2012/slicer">
      <mc:Choice Requires="sle15">
        <xdr:graphicFrame macro="">
          <xdr:nvGraphicFramePr>
            <xdr:cNvPr id="8" name="ATENDIDO">
              <a:extLst>
                <a:ext uri="{FF2B5EF4-FFF2-40B4-BE49-F238E27FC236}">
                  <a16:creationId xmlns:a16="http://schemas.microsoft.com/office/drawing/2014/main" id="{7FB1E78A-9010-B9B1-B89F-C35A05CA1ED6}"/>
                </a:ext>
              </a:extLst>
            </xdr:cNvPr>
            <xdr:cNvGraphicFramePr/>
          </xdr:nvGraphicFramePr>
          <xdr:xfrm>
            <a:off x="0" y="0"/>
            <a:ext cx="0" cy="0"/>
          </xdr:xfrm>
          <a:graphic>
            <a:graphicData uri="http://schemas.microsoft.com/office/drawing/2010/slicer">
              <sle:slicer xmlns:sle="http://schemas.microsoft.com/office/drawing/2010/slicer" name="ATENDIDO"/>
            </a:graphicData>
          </a:graphic>
        </xdr:graphicFrame>
      </mc:Choice>
      <mc:Fallback xmlns="">
        <xdr:sp macro="" textlink="">
          <xdr:nvSpPr>
            <xdr:cNvPr id="0" name=""/>
            <xdr:cNvSpPr>
              <a:spLocks noTextEdit="1"/>
            </xdr:cNvSpPr>
          </xdr:nvSpPr>
          <xdr:spPr>
            <a:xfrm>
              <a:off x="4643437" y="23810"/>
              <a:ext cx="1044844" cy="1366839"/>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xdr:from>
      <xdr:col>3</xdr:col>
      <xdr:colOff>417419</xdr:colOff>
      <xdr:row>5</xdr:row>
      <xdr:rowOff>106456</xdr:rowOff>
    </xdr:from>
    <xdr:to>
      <xdr:col>4</xdr:col>
      <xdr:colOff>750794</xdr:colOff>
      <xdr:row>7</xdr:row>
      <xdr:rowOff>11207</xdr:rowOff>
    </xdr:to>
    <xdr:sp macro="[0]!ProcesarRequerimientosSeleccionados" textlink="">
      <xdr:nvSpPr>
        <xdr:cNvPr id="9" name="Rectángulo: esquinas redondeadas 8">
          <a:extLst>
            <a:ext uri="{FF2B5EF4-FFF2-40B4-BE49-F238E27FC236}">
              <a16:creationId xmlns:a16="http://schemas.microsoft.com/office/drawing/2014/main" id="{36261AB9-4C0A-4898-A80E-D47F0E60B33A}"/>
            </a:ext>
          </a:extLst>
        </xdr:cNvPr>
        <xdr:cNvSpPr/>
      </xdr:nvSpPr>
      <xdr:spPr>
        <a:xfrm>
          <a:off x="6390154" y="1137397"/>
          <a:ext cx="1207434" cy="308163"/>
        </a:xfrm>
        <a:prstGeom prst="roundRect">
          <a:avLst/>
        </a:prstGeom>
        <a:solidFill>
          <a:srgbClr val="0ED62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s-CO" sz="1400"/>
            <a:t>PROCESAR</a:t>
          </a:r>
        </a:p>
      </xdr:txBody>
    </xdr:sp>
    <xdr:clientData/>
  </xdr:twoCellAnchor>
  <xdr:twoCellAnchor>
    <xdr:from>
      <xdr:col>3</xdr:col>
      <xdr:colOff>416718</xdr:colOff>
      <xdr:row>7</xdr:row>
      <xdr:rowOff>105755</xdr:rowOff>
    </xdr:from>
    <xdr:to>
      <xdr:col>4</xdr:col>
      <xdr:colOff>750093</xdr:colOff>
      <xdr:row>9</xdr:row>
      <xdr:rowOff>123264</xdr:rowOff>
    </xdr:to>
    <xdr:sp macro="[0]!TraerExporteConHipervinculos" textlink="">
      <xdr:nvSpPr>
        <xdr:cNvPr id="10" name="Rectángulo: esquinas redondeadas 9">
          <a:extLst>
            <a:ext uri="{FF2B5EF4-FFF2-40B4-BE49-F238E27FC236}">
              <a16:creationId xmlns:a16="http://schemas.microsoft.com/office/drawing/2014/main" id="{582BFBB6-662C-4E82-A581-4C6428593871}"/>
            </a:ext>
          </a:extLst>
        </xdr:cNvPr>
        <xdr:cNvSpPr/>
      </xdr:nvSpPr>
      <xdr:spPr>
        <a:xfrm>
          <a:off x="6389453" y="1540108"/>
          <a:ext cx="1207434" cy="420921"/>
        </a:xfrm>
        <a:prstGeom prst="roundRect">
          <a:avLst/>
        </a:prstGeom>
        <a:solidFill>
          <a:srgbClr val="00B0F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s-CO" sz="1400"/>
            <a:t>IMPORTAR</a:t>
          </a:r>
        </a:p>
      </xdr:txBody>
    </xdr:sp>
    <xdr:clientData/>
  </xdr:twoCellAnchor>
  <mc:AlternateContent xmlns:mc="http://schemas.openxmlformats.org/markup-compatibility/2006">
    <mc:Choice xmlns:a14="http://schemas.microsoft.com/office/drawing/2010/main" Requires="a14">
      <xdr:twoCellAnchor editAs="oneCell">
        <xdr:from>
          <xdr:col>1</xdr:col>
          <xdr:colOff>47625</xdr:colOff>
          <xdr:row>12</xdr:row>
          <xdr:rowOff>0</xdr:rowOff>
        </xdr:from>
        <xdr:to>
          <xdr:col>1</xdr:col>
          <xdr:colOff>1038225</xdr:colOff>
          <xdr:row>13</xdr:row>
          <xdr:rowOff>0</xdr:rowOff>
        </xdr:to>
        <xdr:sp macro="" textlink="">
          <xdr:nvSpPr>
            <xdr:cNvPr id="1027" name="TextBox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12</xdr:row>
          <xdr:rowOff>0</xdr:rowOff>
        </xdr:from>
        <xdr:to>
          <xdr:col>2</xdr:col>
          <xdr:colOff>2181225</xdr:colOff>
          <xdr:row>13</xdr:row>
          <xdr:rowOff>0</xdr:rowOff>
        </xdr:to>
        <xdr:sp macro="" textlink="">
          <xdr:nvSpPr>
            <xdr:cNvPr id="1028" name="TextBox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3464719</xdr:colOff>
      <xdr:row>0</xdr:row>
      <xdr:rowOff>26193</xdr:rowOff>
    </xdr:from>
    <xdr:to>
      <xdr:col>2</xdr:col>
      <xdr:colOff>4507890</xdr:colOff>
      <xdr:row>6</xdr:row>
      <xdr:rowOff>154781</xdr:rowOff>
    </xdr:to>
    <mc:AlternateContent xmlns:mc="http://schemas.openxmlformats.org/markup-compatibility/2006" xmlns:sle15="http://schemas.microsoft.com/office/drawing/2012/slicer">
      <mc:Choice Requires="sle15">
        <xdr:graphicFrame macro="">
          <xdr:nvGraphicFramePr>
            <xdr:cNvPr id="11" name="Area 1">
              <a:extLst>
                <a:ext uri="{FF2B5EF4-FFF2-40B4-BE49-F238E27FC236}">
                  <a16:creationId xmlns:a16="http://schemas.microsoft.com/office/drawing/2014/main" id="{7C30AB58-8766-0D2B-9F5B-A6A6E6AB044A}"/>
                </a:ext>
              </a:extLst>
            </xdr:cNvPr>
            <xdr:cNvGraphicFramePr/>
          </xdr:nvGraphicFramePr>
          <xdr:xfrm>
            <a:off x="0" y="0"/>
            <a:ext cx="0" cy="0"/>
          </xdr:xfrm>
          <a:graphic>
            <a:graphicData uri="http://schemas.microsoft.com/office/drawing/2010/slicer">
              <sle:slicer xmlns:sle="http://schemas.microsoft.com/office/drawing/2010/slicer" name="Area 1"/>
            </a:graphicData>
          </a:graphic>
        </xdr:graphicFrame>
      </mc:Choice>
      <mc:Fallback xmlns="">
        <xdr:sp macro="" textlink="">
          <xdr:nvSpPr>
            <xdr:cNvPr id="0" name=""/>
            <xdr:cNvSpPr>
              <a:spLocks noTextEdit="1"/>
            </xdr:cNvSpPr>
          </xdr:nvSpPr>
          <xdr:spPr>
            <a:xfrm>
              <a:off x="5750719" y="26193"/>
              <a:ext cx="1047750" cy="1366838"/>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3" xr16:uid="{279CBA71-47F5-49DA-BD09-0F0886134640}" autoFormatId="16" applyNumberFormats="0" applyBorderFormats="0" applyFontFormats="0" applyPatternFormats="0" applyAlignmentFormats="0" applyWidthHeightFormats="0">
  <queryTableRefresh nextId="21">
    <queryTableFields count="20">
      <queryTableField id="1" name="ID de la incidencia*+" tableColumnId="1"/>
      <queryTableField id="2" name="Apellidos+" tableColumnId="2"/>
      <queryTableField id="3" name="Nombre+" tableColumnId="3"/>
      <queryTableField id="4" name="Resumen*" tableColumnId="4"/>
      <queryTableField id="5" name="Notas" tableColumnId="5"/>
      <queryTableField id="6" name="Prioridad*" tableColumnId="6"/>
      <queryTableField id="7" name="Estado*" tableColumnId="7"/>
      <queryTableField id="8" name="Estado SLM en tiempo real" tableColumnId="8"/>
      <queryTableField id="9" name="Grupo asignado*+" tableColumnId="9"/>
      <queryTableField id="10" name="Usuario asignado+" tableColumnId="10"/>
      <queryTableField id="11" name="Fecha de envío" tableColumnId="11"/>
      <queryTableField id="12" name="Fecha de última modificación" tableColumnId="12"/>
      <queryTableField id="13" name="Resolución" tableColumnId="13"/>
      <queryTableField id="14" name="Nivel 3 de categorización operacional" tableColumnId="14"/>
      <queryTableField id="15" name="Nivel 3 de categorización de resolución" tableColumnId="15"/>
      <queryTableField id="16" name="Nombre del producto+" tableColumnId="16"/>
      <queryTableField id="17" name="Nombre del producto (R)+" tableColumnId="17"/>
      <queryTableField id="18" name="Modelo/versión" tableColumnId="18"/>
      <queryTableField id="19" name="Modelo/Versión (R)" tableColumnId="19"/>
      <queryTableField id="20" name="link"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2" connectionId="7" xr16:uid="{FB764FB3-9313-4CB7-A03A-3B0576F71824}" autoFormatId="16" applyNumberFormats="0" applyBorderFormats="0" applyFontFormats="0" applyPatternFormats="0" applyAlignmentFormats="0" applyWidthHeightFormats="0">
  <queryTableRefresh nextId="8">
    <queryTableFields count="6">
      <queryTableField id="1" name="ID de la incidencia*+" tableColumnId="1"/>
      <queryTableField id="6" name="Usuario asignado+" tableColumnId="6"/>
      <queryTableField id="2" name="Fecha de envío" tableColumnId="2"/>
      <queryTableField id="3" name="link" tableColumnId="3"/>
      <queryTableField id="4" name="Estado" tableColumnId="4"/>
      <queryTableField id="5" name="Progreso"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connectionId="2" xr16:uid="{D5DEE65C-8289-421A-8F16-945AA9F4C25E}" autoFormatId="16" applyNumberFormats="0" applyBorderFormats="0" applyFontFormats="0" applyPatternFormats="0" applyAlignmentFormats="0" applyWidthHeightFormats="0">
  <queryTableRefresh nextId="12">
    <queryTableFields count="10">
      <queryTableField id="1" name="No.Remedy" tableColumnId="1"/>
      <queryTableField id="2" name="Nombre del Desarrollo" tableColumnId="2"/>
      <queryTableField id="10" name="Modulo" tableColumnId="10"/>
      <queryTableField id="3" name="Instaladores.1" tableColumnId="3"/>
      <queryTableField id="4" name="Instaladores.2" tableColumnId="4"/>
      <queryTableField id="5" name="Instaladores.3" tableColumnId="5"/>
      <queryTableField id="6" name="Instaladores.4" tableColumnId="6"/>
      <queryTableField id="7" name="Instaladores.5" tableColumnId="7"/>
      <queryTableField id="8" name="Instaladores.6" tableColumnId="8"/>
      <queryTableField id="9" name="Instaladores.7"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1" connectionId="6" xr16:uid="{5529D019-273E-4EBC-8BCC-A30B09F0D6F0}" autoFormatId="16" applyNumberFormats="0" applyBorderFormats="0" applyFontFormats="0" applyPatternFormats="0" applyAlignmentFormats="0" applyWidthHeightFormats="0">
  <queryTableRefresh nextId="7">
    <queryTableFields count="6">
      <queryTableField id="1" name="Fecha" tableColumnId="1"/>
      <queryTableField id="2" name="Fila" tableColumnId="2"/>
      <queryTableField id="3" name="No.Remedy" tableColumnId="3"/>
      <queryTableField id="4" name="Estado" tableColumnId="4"/>
      <queryTableField id="5" name="Observacion" tableColumnId="5"/>
      <queryTableField id="6" name="Combinada"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greso" xr10:uid="{3545FE23-5265-42DC-9EE0-611FBA46B7B4}" sourceName="Estado">
  <extLst>
    <x:ext xmlns:x15="http://schemas.microsoft.com/office/spreadsheetml/2010/11/main" uri="{2F2917AC-EB37-4324-AD4E-5DD8C200BD13}">
      <x15:tableSlicerCache tableId="1" column="1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4E523F41-901D-4205-907D-0F94376D4178}" sourceName="Progreso">
  <extLst>
    <x:ext xmlns:x15="http://schemas.microsoft.com/office/spreadsheetml/2010/11/main" uri="{2F2917AC-EB37-4324-AD4E-5DD8C200BD13}">
      <x15:tableSlicerCache tableId="1" column="14"/>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veedor" xr10:uid="{F1FA6841-46B0-4FD0-A057-6E1879A27556}" sourceName="Proveedor">
  <extLst>
    <x:ext xmlns:x15="http://schemas.microsoft.com/office/spreadsheetml/2010/11/main" uri="{2F2917AC-EB37-4324-AD4E-5DD8C200BD13}">
      <x15:tableSlicerCache tableId="1" column="16"/>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83C2F05D-1AFE-47FD-84C5-9D1105142AED}" sourceName="Tipo">
  <extLst>
    <x:ext xmlns:x15="http://schemas.microsoft.com/office/spreadsheetml/2010/11/main" uri="{2F2917AC-EB37-4324-AD4E-5DD8C200BD13}">
      <x15:tableSlicerCache tableId="1" column="11"/>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TENDIDO" xr10:uid="{9FFD7461-5132-4A6D-95F2-11FAC5008893}" sourceName="ATENDIDO">
  <extLst>
    <x:ext xmlns:x15="http://schemas.microsoft.com/office/spreadsheetml/2010/11/main" uri="{2F2917AC-EB37-4324-AD4E-5DD8C200BD13}">
      <x15:tableSlicerCache tableId="1" column="24"/>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rea1" xr10:uid="{7E26E1AC-39E0-40D8-B7DB-BE3898A332D1}" sourceName="Area">
  <extLst>
    <x:ext xmlns:x15="http://schemas.microsoft.com/office/spreadsheetml/2010/11/main" uri="{2F2917AC-EB37-4324-AD4E-5DD8C200BD13}">
      <x15:tableSlicerCache tableId="1" column="17"/>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greso" xr10:uid="{DA75CFE1-FECA-43D8-ADAF-4014C68A33D5}" cache="SegmentaciónDeDatos_Progreso" caption="Estado" style="SlicerStyleOther2" rowHeight="257175"/>
  <slicer name="Estado" xr10:uid="{CB2E47A8-F50C-4FB0-A6DE-35914D689D7B}" cache="SegmentaciónDeDatos_Estado" caption="Progreso" style="SlicerStyleOther2" rowHeight="257175"/>
  <slicer name="Proveedor" xr10:uid="{500640EE-7BC1-4631-A934-2E54040BFDF8}" cache="SegmentaciónDeDatos_Proveedor" caption="Proveedor" style="SlicerStyleOther2" rowHeight="257175"/>
  <slicer name="Tipo" xr10:uid="{CFACD5A6-85C3-443A-9BD2-1FF1AB929A01}" cache="SegmentaciónDeDatos_Tipo" caption="Tipo" style="SlicerStyleOther2" rowHeight="257175"/>
  <slicer name="ATENDIDO" xr10:uid="{2BAE7343-8D6B-484E-BB34-DA6C3FDC9E98}" cache="SegmentaciónDeDatos_ATENDIDO" caption="ATENDIDO" style="SlicerStyleOther2" rowHeight="257175"/>
  <slicer name="Area 1" xr10:uid="{A2A5C143-F414-4DBB-8843-84B9A0162DA8}" cache="SegmentaciónDeDatos_Area1" caption="Area" style="SlicerStyleOther2" rowHeight="257175"/>
</slicers>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AA1D80-2BD8-44B9-85EF-88926BFDD6D7}" name="Control" displayName="Control" ref="A16:AA120" totalsRowShown="0" headerRowDxfId="181" dataDxfId="179" headerRowBorderDxfId="180" tableBorderDxfId="178">
  <autoFilter ref="A16:AA120" xr:uid="{8EC21FFE-FBCE-4736-9395-4AD7C0B339E4}">
    <filterColumn colId="15">
      <filters>
        <filter val="En curso"/>
      </filters>
    </filterColumn>
  </autoFilter>
  <sortState xmlns:xlrd2="http://schemas.microsoft.com/office/spreadsheetml/2017/richdata2" ref="A53:AA120">
    <sortCondition ref="Q16:Q120"/>
  </sortState>
  <tableColumns count="27">
    <tableColumn id="20" xr3:uid="{576F42E6-726B-4481-9277-C463CB07B066}" name="FILA" dataDxfId="177">
      <calculatedColumnFormula>+ROW()-13</calculatedColumnFormula>
    </tableColumn>
    <tableColumn id="1" xr3:uid="{AC6ED459-0657-4F02-961E-4BC1FA3DCCE6}" name="No.Remedy" dataDxfId="176"/>
    <tableColumn id="2" xr3:uid="{4D1D4AD9-099F-4871-BD35-93E87AA092BC}" name="Nombre del Desarrollo" dataDxfId="175"/>
    <tableColumn id="25" xr3:uid="{FB296469-4551-4842-8CBD-C51F8B805B6E}" name="Descripcion" dataDxfId="174"/>
    <tableColumn id="3" xr3:uid="{D92303D2-2D3D-47B6-A40A-21BE2F851B93}" name="Fecha Inicial" dataDxfId="173"/>
    <tableColumn id="4" xr3:uid="{E3185D59-EA28-4F41-A8F8-7A38D2C87E90}" name="Fecha Final" dataDxfId="172"/>
    <tableColumn id="5" xr3:uid="{41910453-F4D3-490A-9872-CEC85525820D}" name="Días" dataDxfId="171">
      <calculatedColumnFormula>HOY-Control[[#This Row],[Fecha Inicial]]</calculatedColumnFormula>
    </tableColumn>
    <tableColumn id="6" xr3:uid="{5AE96165-CF2B-46B4-B9B2-405897E6B29D}" name="Modulo" dataDxfId="170"/>
    <tableColumn id="7" xr3:uid="{47650021-AF63-4325-B402-9FF51CF410F1}" name="Costo" dataDxfId="169" dataCellStyle="Millares"/>
    <tableColumn id="23" xr3:uid="{135D8137-1CAB-4492-A4A8-61C86CBF8E26}" name="PROPUESTA" dataDxfId="168" dataCellStyle="Millares"/>
    <tableColumn id="8" xr3:uid="{7CFF51F2-EA47-4407-8D3C-352DD5D1C76A}" name="Fecha Entrega" dataDxfId="167"/>
    <tableColumn id="9" xr3:uid="{F9C1F67A-1447-435A-A145-F6C7F1DFDAA1}" name="Ambiente" dataDxfId="166"/>
    <tableColumn id="10" xr3:uid="{15FB2E4B-CF6F-4E59-9E61-2EB42F983E3E}" name="Instaladores" dataDxfId="165"/>
    <tableColumn id="11" xr3:uid="{B7B878C0-4C46-4FA0-9DD2-884E636583F0}" name="Tipo" dataDxfId="164"/>
    <tableColumn id="12" xr3:uid="{9328106B-F3E9-4751-B377-E3C9B4146C87}" name="Observaciones" dataDxfId="163"/>
    <tableColumn id="13" xr3:uid="{845ABC5C-7B74-40F5-8BD2-9C44276D1278}" name="Estado" dataDxfId="162"/>
    <tableColumn id="14" xr3:uid="{50B361FB-084A-4E78-80AC-AC94E2BA5B4F}" name="Progreso" dataDxfId="161"/>
    <tableColumn id="15" xr3:uid="{837E01E6-84B1-4176-A48A-6936DFE3D080}" name="Nombre" dataDxfId="160"/>
    <tableColumn id="16" xr3:uid="{B3F7E868-18FB-4356-9648-D0C388A8E248}" name="Proveedor" dataDxfId="159"/>
    <tableColumn id="17" xr3:uid="{761DABE2-F58A-49DF-BAB0-C45A839A2A3C}" name="Area" dataDxfId="158"/>
    <tableColumn id="18" xr3:uid="{6F409D83-2AAC-4C25-A76B-2B9AF54C3F98}" name="SIDE/Service Point" dataDxfId="157"/>
    <tableColumn id="19" xr3:uid="{DA123776-4029-44A1-90D5-7CAB355F85E3}" name="link Remedi" dataDxfId="156"/>
    <tableColumn id="21" xr3:uid="{369AFD1D-12DD-468B-94F3-08C5BFD290EE}" name="Asignado A" dataDxfId="155">
      <calculatedColumnFormula>_xlfn.XLOOKUP(Control[[#This Row],[No.Remedy]],Tabla2[ID de la incidencia*+],Tabla2[Usuario asignado+],"No encontrado",0)</calculatedColumnFormula>
    </tableColumn>
    <tableColumn id="22" xr3:uid="{E4FCBF64-98CF-48BB-9464-AF0F8BDE8EF9}" name="Estado_Remedy" dataDxfId="154">
      <calculatedColumnFormula>_xlfn.XLOOKUP(Control[[#This Row],[No.Remedy]],Tabla2[ID de la incidencia*+],Tabla2[Estado*],"No encontrado",0)</calculatedColumnFormula>
    </tableColumn>
    <tableColumn id="24" xr3:uid="{1F22991E-C6BF-4BDF-B677-7D0B80134A60}" name="ATENDIDO" dataDxfId="153"/>
    <tableColumn id="26" xr3:uid="{9EA9790E-3352-4E90-A025-7A3B9F372492}" name="CONTADOR DE FALLAS PROVEEDOR" dataDxfId="152"/>
    <tableColumn id="27" xr3:uid="{8DDA8077-613A-43D9-94A3-C54ECC49F7C6}" name="FECHA OBJETIVO CIERRE" dataDxfId="15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C2C4802-D561-4F0E-9B3E-C7D0C6784E1E}" name="Tabla5" displayName="Tabla5" ref="AA1:AA13" totalsRowShown="0">
  <autoFilter ref="AA1:AA13" xr:uid="{8C2C4802-D561-4F0E-9B3E-C7D0C6784E1E}"/>
  <tableColumns count="1">
    <tableColumn id="1" xr3:uid="{12A7847E-D3D5-491F-956B-AEA0CC5BCE46}" name="Columna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F4E1829-F583-4CD0-BD66-916A6FDCD9DE}" name="Tabla11" displayName="Tabla11" ref="A1:J22" totalsRowShown="0" headerRowDxfId="120" headerRowBorderDxfId="119" tableBorderDxfId="118" totalsRowBorderDxfId="117">
  <autoFilter ref="A1:J22" xr:uid="{3F4E1829-F583-4CD0-BD66-916A6FDCD9DE}"/>
  <sortState xmlns:xlrd2="http://schemas.microsoft.com/office/spreadsheetml/2017/richdata2" ref="A2:J22">
    <sortCondition ref="D1:D22"/>
  </sortState>
  <tableColumns count="10">
    <tableColumn id="1" xr3:uid="{1F3DB7AD-94D2-4ADA-9DAE-D6415857257B}" name="FILA" dataDxfId="116"/>
    <tableColumn id="2" xr3:uid="{4173AC91-C761-420B-90AE-4124B1DECBA7}" name="No.Remedy" dataDxfId="115"/>
    <tableColumn id="3" xr3:uid="{5073C121-1B8A-4A0D-B90A-D13392860732}" name="Nombre del Desarrollo" dataDxfId="114"/>
    <tableColumn id="4" xr3:uid="{083F563B-95E2-4F59-A426-F706D5773EA8}" name="Progreso" dataDxfId="113"/>
    <tableColumn id="5" xr3:uid="{55777B72-AD50-4431-9C7C-2CCE16E3D434}" name="Nombre" dataDxfId="112"/>
    <tableColumn id="10" xr3:uid="{ACC4F0D9-C347-4C0E-BD9F-0924ADE0AD4F}" name="Proxima accion" dataDxfId="111"/>
    <tableColumn id="9" xr3:uid="{39ED069D-A507-47F4-A6B5-6FABE7CA78B1}" name="Fecha Control" dataDxfId="110"/>
    <tableColumn id="6" xr3:uid="{B59C5F29-BEC6-4888-BFC0-E3EAE7FACFEE}" name="Proveedor" dataDxfId="109"/>
    <tableColumn id="7" xr3:uid="{CA76A710-5988-457F-A6C6-39CF1050DD49}" name="Area" dataDxfId="108"/>
    <tableColumn id="8" xr3:uid="{78633F70-8A8E-41D9-B60D-AAA39AD8825D}" name="SIDE/Service Point" dataDxfId="10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3FA162B-0C6B-4AF3-9A9F-0F622DA391C3}" name="Tabla1113" displayName="Tabla1113" ref="A28:I49" totalsRowShown="0" headerRowDxfId="106" headerRowBorderDxfId="105" tableBorderDxfId="104" totalsRowBorderDxfId="103">
  <autoFilter ref="A28:I49" xr:uid="{C3FA162B-0C6B-4AF3-9A9F-0F622DA391C3}"/>
  <sortState xmlns:xlrd2="http://schemas.microsoft.com/office/spreadsheetml/2017/richdata2" ref="A29:I49">
    <sortCondition ref="D1:D22"/>
  </sortState>
  <tableColumns count="9">
    <tableColumn id="1" xr3:uid="{9BB1DD98-2B62-4492-8A24-3A17184268C7}" name="FILA" dataDxfId="102"/>
    <tableColumn id="2" xr3:uid="{995386AF-6E4A-48BB-9EC4-F2498A71F9D0}" name="No.Remedy" dataDxfId="101"/>
    <tableColumn id="3" xr3:uid="{88DC17DA-1527-49C1-B18F-0F1FC6907A99}" name="Nombre del Desarrollo" dataDxfId="100"/>
    <tableColumn id="4" xr3:uid="{8753AB19-BBFB-4911-8AB7-27B9045ECE67}" name="Progreso" dataDxfId="99"/>
    <tableColumn id="5" xr3:uid="{A5FEC72B-F555-4631-920F-E3BACC10DCF6}" name="Nombre" dataDxfId="98"/>
    <tableColumn id="10" xr3:uid="{1E049149-5643-47A5-8103-1FF263DD9EAF}" name="Proxima accion" dataDxfId="97"/>
    <tableColumn id="6" xr3:uid="{605D4B72-9B36-42EB-87B8-DCCE4766BF78}" name="Proveedor" dataDxfId="96"/>
    <tableColumn id="7" xr3:uid="{184095B4-D67C-4A2C-B403-090A47E2AE3D}" name="Area" dataDxfId="95"/>
    <tableColumn id="8" xr3:uid="{F3E04D6B-4C45-481C-9688-146FE0184FD9}" name="SIDE/Service Point" dataDxfId="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1B0700A-09DA-414F-B141-D0A92E098211}" name="Tabla10" displayName="Tabla10" ref="A39:F46" totalsRowShown="0" headerRowDxfId="90" dataDxfId="89">
  <autoFilter ref="A39:F46" xr:uid="{31B0700A-09DA-414F-B141-D0A92E098211}"/>
  <sortState xmlns:xlrd2="http://schemas.microsoft.com/office/spreadsheetml/2017/richdata2" ref="A40:F46">
    <sortCondition ref="F39:F46"/>
  </sortState>
  <tableColumns count="6">
    <tableColumn id="1" xr3:uid="{54895B68-7CAF-4D0A-89C3-FFDB729180E5}" name="DESCRIPCION" dataDxfId="88"/>
    <tableColumn id="2" xr3:uid="{E3329D03-8BC5-429D-A8C6-ECA9AF1C0E5C}" name="MES FACTURA" dataDxfId="87"/>
    <tableColumn id="3" xr3:uid="{8444F61E-5C75-4F97-A184-C7B38BD1288F}" name="VALOR" dataDxfId="86"/>
    <tableColumn id="4" xr3:uid="{217209BC-06EC-4338-AF22-7166CF87953F}" name="CENTRO DE COSTO" dataDxfId="85"/>
    <tableColumn id="5" xr3:uid="{19AEB074-12C4-400A-A663-39CE0A9D4214}" name="CONTRATO DE SOPORTE" dataDxfId="84"/>
    <tableColumn id="6" xr3:uid="{FD398D71-050C-47D3-B68E-A18170AAFB67}" name="Columna1" dataDxfId="8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AAE086-93F9-45FB-920F-C81BB3133EFA}" name="Tabla4" displayName="Tabla4" ref="A4:H18" totalsRowShown="0" headerRowDxfId="82" dataDxfId="80" headerRowBorderDxfId="81" tableBorderDxfId="79">
  <autoFilter ref="A4:H18" xr:uid="{22AAE086-93F9-45FB-920F-C81BB3133EFA}"/>
  <tableColumns count="8">
    <tableColumn id="1" xr3:uid="{D4524CE1-51AF-454D-9423-1F2111960C49}" name="Desarrollo #" dataDxfId="78"/>
    <tableColumn id="2" xr3:uid="{6C9E55E2-6870-4808-BD6F-2405A7A38F4B}" name="Tema" dataDxfId="77"/>
    <tableColumn id="3" xr3:uid="{5966EFAE-1803-45C3-9885-FDD99B08D572}" name="Desarrollo" dataDxfId="76"/>
    <tableColumn id="4" xr3:uid="{8DF20F9A-23C8-48AF-B2D4-E5E1AC7CD56B}" name="Estado" dataDxfId="75"/>
    <tableColumn id="5" xr3:uid="{737BBD8F-CFF0-482A-88C6-F7BA5B5337E1}" name="Ejerce dependencia al desarrollo" dataDxfId="74"/>
    <tableColumn id="6" xr3:uid="{85C148F7-B34F-40C6-80F4-87DF460BDD6A}" name="Responsables" dataDxfId="73"/>
    <tableColumn id="7" xr3:uid="{8BB2A15E-9F24-4DE3-A7A1-DBBA5EB62929}" name="Observación" dataDxfId="72"/>
    <tableColumn id="8" xr3:uid="{050F4748-3F43-45A7-847B-606F8F45D1B3}" name="ENCARGADO" dataDxfId="71"/>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C0E9784-B879-4A30-A124-BF92C5DFF8D5}" name="Exporte" displayName="Exporte" ref="A1:T24" tableType="queryTable" totalsRowShown="0">
  <autoFilter ref="A1:T24" xr:uid="{9C0E9784-B879-4A30-A124-BF92C5DFF8D5}"/>
  <tableColumns count="20">
    <tableColumn id="1" xr3:uid="{4FFB0101-7977-4323-A181-6AEA437B2778}" uniqueName="1" name="ID de la incidencia*+" queryTableFieldId="1" dataDxfId="70"/>
    <tableColumn id="2" xr3:uid="{16B54A64-CC5E-48CF-BF34-FD18A14CC3CC}" uniqueName="2" name="Apellidos+" queryTableFieldId="2" dataDxfId="69"/>
    <tableColumn id="3" xr3:uid="{7B13B370-9B4E-4A17-AD3E-9DE0E46EE1B3}" uniqueName="3" name="Nombre+" queryTableFieldId="3" dataDxfId="68"/>
    <tableColumn id="4" xr3:uid="{AFB08ACD-7261-4DF0-8FC9-9857AE2320AC}" uniqueName="4" name="Resumen*" queryTableFieldId="4" dataDxfId="67"/>
    <tableColumn id="5" xr3:uid="{EA240862-012C-41E3-8706-5DC3C407033E}" uniqueName="5" name="Notas" queryTableFieldId="5" dataDxfId="66"/>
    <tableColumn id="6" xr3:uid="{11F4BB42-B50F-4A76-A607-F6CC0C1607B6}" uniqueName="6" name="Prioridad*" queryTableFieldId="6" dataDxfId="65"/>
    <tableColumn id="7" xr3:uid="{8099A391-509D-431D-8277-D910DB98A1B7}" uniqueName="7" name="Estado*" queryTableFieldId="7" dataDxfId="64"/>
    <tableColumn id="8" xr3:uid="{712A052E-CCB0-43F9-BF36-CB66133F7828}" uniqueName="8" name="Estado SLM en tiempo real" queryTableFieldId="8" dataDxfId="63"/>
    <tableColumn id="9" xr3:uid="{57DC42E4-BCE4-436F-89FF-63ECC9F8F497}" uniqueName="9" name="Grupo asignado*+" queryTableFieldId="9" dataDxfId="62"/>
    <tableColumn id="10" xr3:uid="{880A11D1-93D5-464E-81A9-E3AF9F04548D}" uniqueName="10" name="Usuario asignado+" queryTableFieldId="10" dataDxfId="61"/>
    <tableColumn id="11" xr3:uid="{DFB2B35E-DC6D-4F58-90DA-1370675BA0C6}" uniqueName="11" name="Fecha de envío" queryTableFieldId="11" dataDxfId="60"/>
    <tableColumn id="12" xr3:uid="{F3DEE36D-8B14-4281-AC96-2DA2DED12DBE}" uniqueName="12" name="Fecha de última modificación" queryTableFieldId="12" dataDxfId="59"/>
    <tableColumn id="13" xr3:uid="{759C226B-CAD5-4559-8B3F-7A537F069684}" uniqueName="13" name="Resolución" queryTableFieldId="13" dataDxfId="58"/>
    <tableColumn id="14" xr3:uid="{326293A7-CA50-4C12-AECC-91C89815E8E0}" uniqueName="14" name="Nivel 3 de categorización operacional" queryTableFieldId="14" dataDxfId="57"/>
    <tableColumn id="15" xr3:uid="{33450CE7-A795-40E6-B199-D8FE6920C3B1}" uniqueName="15" name="Nivel 3 de categorización de resolución" queryTableFieldId="15" dataDxfId="56"/>
    <tableColumn id="16" xr3:uid="{4B3C52D2-85A0-44F2-B9D1-36989AEF683A}" uniqueName="16" name="Nombre del producto+" queryTableFieldId="16" dataDxfId="55"/>
    <tableColumn id="17" xr3:uid="{F2E8E109-DDC2-4F4D-8D64-652C10C4914F}" uniqueName="17" name="Nombre del producto (R)+" queryTableFieldId="17" dataDxfId="54"/>
    <tableColumn id="18" xr3:uid="{F18983D7-630C-4362-9A30-E04FEE0AD6CE}" uniqueName="18" name="Modelo/versión" queryTableFieldId="18" dataDxfId="53"/>
    <tableColumn id="19" xr3:uid="{C255CADB-F5BE-436C-AC00-4E9775425DA3}" uniqueName="19" name="Modelo/Versión (R)" queryTableFieldId="19"/>
    <tableColumn id="20" xr3:uid="{5F7A7CB2-C9F6-4E74-B623-806F7C1C7984}" uniqueName="20" name="link" queryTableFieldId="20" dataDxfId="5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F1081A6-C818-4D45-8E89-9497823BF8B9}" name="Validacion_nuevos_casos" displayName="Validacion_nuevos_casos" ref="Z1:AE5" tableType="queryTable" totalsRowShown="0">
  <autoFilter ref="Z1:AE5" xr:uid="{8F1081A6-C818-4D45-8E89-9497823BF8B9}"/>
  <tableColumns count="6">
    <tableColumn id="1" xr3:uid="{7F615C19-AF0A-4F24-8306-E0047D9216F7}" uniqueName="1" name="ID de la incidencia*+" queryTableFieldId="1"/>
    <tableColumn id="6" xr3:uid="{059093E1-B9CA-45C9-8CBE-977533FC2074}" uniqueName="6" name="Usuario asignado+" queryTableFieldId="6" dataDxfId="51"/>
    <tableColumn id="2" xr3:uid="{423A9973-E400-4C99-869D-680582529B70}" uniqueName="2" name="Fecha de envío" queryTableFieldId="2" dataDxfId="50"/>
    <tableColumn id="3" xr3:uid="{EC4D2988-B7F9-4FFA-A11C-2F16D5904A46}" uniqueName="3" name="link" queryTableFieldId="3" dataCellStyle="Hipervínculo"/>
    <tableColumn id="4" xr3:uid="{17C52A08-E2DF-46B3-80E4-940279C58047}" uniqueName="4" name="Estado" queryTableFieldId="4"/>
    <tableColumn id="5" xr3:uid="{05E921F0-ED72-423C-B882-AFB2D7917A9B}" uniqueName="5" name="Progreso" queryTableFieldId="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3D6E15-003A-4981-B5F6-9BCE8BBA0701}" name="Tabla2" displayName="Tabla2" ref="A1:T43" totalsRowShown="0" headerRowDxfId="49" dataDxfId="48">
  <autoFilter ref="A1:T43" xr:uid="{DE3D6E15-003A-4981-B5F6-9BCE8BBA0701}">
    <filterColumn colId="9">
      <filters>
        <filter val="Jonattan Manuel Olivares Murcia"/>
      </filters>
    </filterColumn>
  </autoFilter>
  <tableColumns count="20">
    <tableColumn id="1" xr3:uid="{AFCF7D34-D878-43A6-92EC-DDDE62E9E6CF}" name="ID de la incidencia*+" dataDxfId="47" dataCellStyle="Hyperlink"/>
    <tableColumn id="2" xr3:uid="{691FD230-F1F1-4C54-86DA-D3197E4B0F63}" name="Apellidos+" dataDxfId="46"/>
    <tableColumn id="3" xr3:uid="{1F75CACD-66D5-42BF-AA31-5692CB6B69AA}" name="Nombre+" dataDxfId="45"/>
    <tableColumn id="4" xr3:uid="{CD79441B-A441-40E9-A573-8CA2BEA00F1E}" name="Resumen*" dataDxfId="44"/>
    <tableColumn id="5" xr3:uid="{75C3E766-C4D7-47C2-B10E-8AB45F5DBB0F}" name="Notas" dataDxfId="43"/>
    <tableColumn id="6" xr3:uid="{2D680505-4320-4EFE-B618-27B8F562E28D}" name="Prioridad*" dataDxfId="42"/>
    <tableColumn id="7" xr3:uid="{604BA128-6D38-4B93-87AC-B020383E3FA7}" name="Estado*" dataDxfId="41"/>
    <tableColumn id="8" xr3:uid="{68738CDD-DA47-4BE8-A40B-EB930EB5536E}" name="Estado SLM en tiempo real" dataDxfId="40"/>
    <tableColumn id="9" xr3:uid="{0A8ED1DC-5CE8-485C-A7F4-A19A1F467AC5}" name="Grupo asignado*+" dataDxfId="39"/>
    <tableColumn id="10" xr3:uid="{25506172-6ABA-4B67-9FCC-062019FA5EB1}" name="Usuario asignado+" dataDxfId="38"/>
    <tableColumn id="11" xr3:uid="{24A22D49-A07A-4FF1-A14A-AC9B32628922}" name="Fecha de envío" dataDxfId="37"/>
    <tableColumn id="12" xr3:uid="{A38FF467-5655-4A5F-9E4F-F6AF17FE9500}" name="Fecha de última modificación" dataDxfId="36"/>
    <tableColumn id="13" xr3:uid="{ECDAC259-D2C7-42F8-BCCB-02A92326C8DB}" name="Resolución" dataDxfId="35"/>
    <tableColumn id="14" xr3:uid="{082A1264-1AE4-4ED1-BE04-8ECA3FB2EA43}" name="Nivel 3 de categorización operacional" dataDxfId="34"/>
    <tableColumn id="15" xr3:uid="{40FE6208-B8BA-4CB2-84B6-5ED27C2F1408}" name="Nivel 3 de categorización de resolución" dataDxfId="33"/>
    <tableColumn id="16" xr3:uid="{3BF70CAF-153C-42BC-8D31-1D6B0AAC2800}" name="Nombre del producto+" dataDxfId="32"/>
    <tableColumn id="17" xr3:uid="{5DAF5761-FC47-422B-96AE-5813F8B8375C}" name="Nombre del producto (R)+" dataDxfId="31"/>
    <tableColumn id="18" xr3:uid="{82EB5D1F-BE21-497E-BB52-F19D313B8045}" name="Modelo/versión" dataDxfId="30"/>
    <tableColumn id="19" xr3:uid="{F81C0928-B7F9-432F-B57D-DD4C04EFE9B7}" name="Modelo/Versión (R)" dataDxfId="29"/>
    <tableColumn id="20" xr3:uid="{6CD97388-3614-4349-AD38-E9633322C462}" name="link"/>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BFD50D1-117A-463D-9D1F-06444FB38F61}" name="Control_Para_SIDE" displayName="Control_Para_SIDE" ref="B2:K17" tableType="queryTable" totalsRowShown="0">
  <autoFilter ref="B2:K17" xr:uid="{7BFD50D1-117A-463D-9D1F-06444FB38F61}"/>
  <tableColumns count="10">
    <tableColumn id="1" xr3:uid="{F2CE3124-E94D-483A-A873-C24E27B2833E}" uniqueName="1" name="No.Remedy" queryTableFieldId="1" dataDxfId="28"/>
    <tableColumn id="2" xr3:uid="{59DAE7BF-2C12-41A3-98EE-927A12BFC801}" uniqueName="2" name="Nombre del Desarrollo" queryTableFieldId="2"/>
    <tableColumn id="10" xr3:uid="{D8B5D6FD-67BB-4F8D-A6A5-FD1DA24AD743}" uniqueName="10" name="Modulo" queryTableFieldId="10"/>
    <tableColumn id="3" xr3:uid="{2289455B-00F8-4E34-8921-A792B07F356C}" uniqueName="3" name="Instaladores.1" queryTableFieldId="3"/>
    <tableColumn id="4" xr3:uid="{ACED0D7B-173F-4763-9C5E-8270AF9434D2}" uniqueName="4" name="Instaladores.2" queryTableFieldId="4"/>
    <tableColumn id="5" xr3:uid="{52720D86-B3FA-47EA-838E-087E4A97A707}" uniqueName="5" name="Instaladores.3" queryTableFieldId="5"/>
    <tableColumn id="6" xr3:uid="{FCC63EF4-D92B-4AE9-BF0B-59FC6FD817B9}" uniqueName="6" name="Instaladores.4" queryTableFieldId="6"/>
    <tableColumn id="7" xr3:uid="{91D0333C-E77A-471C-B24D-F84548EE03B4}" uniqueName="7" name="Instaladores.5" queryTableFieldId="7"/>
    <tableColumn id="8" xr3:uid="{76BD0C92-3AFE-400E-8C3B-74AB50C689C8}" uniqueName="8" name="Instaladores.6" queryTableFieldId="8"/>
    <tableColumn id="9" xr3:uid="{EB97B0A4-71A4-461E-A0D7-E940E936BACE}" uniqueName="9" name="Instaladores.7" queryTableFieldId="9"/>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8F1DFCF-5119-46E3-BC86-752992D7386B}" name="Tabla6" displayName="Tabla6" ref="A1:E589" totalsRowShown="0" dataDxfId="7">
  <autoFilter ref="A1:E589" xr:uid="{28F1DFCF-5119-46E3-BC86-752992D7386B}"/>
  <tableColumns count="5">
    <tableColumn id="1" xr3:uid="{521B41C0-788F-4B61-BB7E-787EB3B712C7}" name="Fecha" dataDxfId="6"/>
    <tableColumn id="2" xr3:uid="{B7D94406-2878-42CE-8864-6CC98B31B1F6}" name="Fila" dataDxfId="5"/>
    <tableColumn id="3" xr3:uid="{800F739D-7A31-4776-A7BC-7E15E184A231}" name="No.Remedy" dataDxfId="4"/>
    <tableColumn id="4" xr3:uid="{7C09C407-43CC-48B8-9FF9-BE1DBCC55CB4}" name="Estado" dataDxfId="3"/>
    <tableColumn id="5" xr3:uid="{55ACC790-4CCD-48CF-BA46-7AC00CFC5B75}" name="Observacion" dataDxfId="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FF88D28-D543-4B00-84A3-298F6528A88B}" name="Tabla6_1" displayName="Tabla6_1" ref="I1:N272" tableType="queryTable" totalsRowShown="0">
  <autoFilter ref="I1:N272" xr:uid="{2FF88D28-D543-4B00-84A3-298F6528A88B}"/>
  <tableColumns count="6">
    <tableColumn id="1" xr3:uid="{36DA6565-AE35-4A20-890F-35C05D6C4330}" uniqueName="1" name="Fecha" queryTableFieldId="1" dataDxfId="1"/>
    <tableColumn id="2" xr3:uid="{53F7DDCF-3F23-4F92-B590-9F680D7A4B37}" uniqueName="2" name="Fila" queryTableFieldId="2"/>
    <tableColumn id="3" xr3:uid="{B2E672DA-0446-4DB0-82AD-6BE1ACD76295}" uniqueName="3" name="No.Remedy" queryTableFieldId="3"/>
    <tableColumn id="4" xr3:uid="{75DC7681-7C7F-4047-A42B-E95745A4F4F8}" uniqueName="4" name="Estado" queryTableFieldId="4"/>
    <tableColumn id="5" xr3:uid="{88CF484C-D35C-4FA1-A8D4-122AC17402B7}" uniqueName="5" name="Observacion" queryTableFieldId="5"/>
    <tableColumn id="6" xr3:uid="{B66A43E1-0540-4B98-926D-5D26F2C20942}" uniqueName="6" name="Combinada" queryTableFieldId="6" dataDxfId="0"/>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6" Type="http://schemas.openxmlformats.org/officeDocument/2006/relationships/hyperlink" Target="https://centrodegestiongecc.onbmc.com/arsys/servlet/ViewFormServlet?form=HPD%3AHelp+Desk&amp;server=onbmc-s&amp;eid=INC000002880632" TargetMode="External"/><Relationship Id="rId21" Type="http://schemas.openxmlformats.org/officeDocument/2006/relationships/hyperlink" Target="https://centrodegestiongecc.onbmc.com/arsys/servlet/ViewFormServlet?form=HPD%3AHelp+Desk&amp;server=onbmc-s&amp;eid=INC000002883795" TargetMode="External"/><Relationship Id="rId42" Type="http://schemas.openxmlformats.org/officeDocument/2006/relationships/hyperlink" Target="https://centrodegestiongecc.onbmc.com/arsys/servlet/ViewFormServlet?form=HPD%3AHelp+Desk&amp;server=onbmc-s&amp;eid=INC000002951588" TargetMode="External"/><Relationship Id="rId47" Type="http://schemas.openxmlformats.org/officeDocument/2006/relationships/hyperlink" Target="https://centrodegestiongecc.onbmc.com/arsys/servlet/ViewFormServlet?form=HPD%3AHelp+Desk&amp;server=onbmc-s&amp;eid=INC000002973178" TargetMode="External"/><Relationship Id="rId63" Type="http://schemas.openxmlformats.org/officeDocument/2006/relationships/printerSettings" Target="../printerSettings/printerSettings1.bin"/><Relationship Id="rId68" Type="http://schemas.openxmlformats.org/officeDocument/2006/relationships/control" Target="../activeX/activeX2.xml"/><Relationship Id="rId7" Type="http://schemas.openxmlformats.org/officeDocument/2006/relationships/hyperlink" Target="https://centrodegestiongecc.onbmc.com/arsys/servlet/ViewFormServlet?form=HPD%3AHelp+Desk&amp;server=onbmc-s&amp;eid=INC000002899108" TargetMode="External"/><Relationship Id="rId71" Type="http://schemas.openxmlformats.org/officeDocument/2006/relationships/table" Target="../tables/table2.xml"/><Relationship Id="rId2" Type="http://schemas.openxmlformats.org/officeDocument/2006/relationships/hyperlink" Target="https://centrodegestiongecc.onbmc.com/arsys/servlet/ViewFormServlet?form=HPD%3AHelp+Desk&amp;server=onbmc-s&amp;eid=INC000002846560" TargetMode="External"/><Relationship Id="rId16" Type="http://schemas.openxmlformats.org/officeDocument/2006/relationships/hyperlink" Target="https://centrodegestiongecc.onbmc.com/arsys/servlet/ViewFormServlet?form=HPD%3AHelp+Desk&amp;server=onbmc-s&amp;eid=INC000002928673" TargetMode="External"/><Relationship Id="rId29" Type="http://schemas.openxmlformats.org/officeDocument/2006/relationships/hyperlink" Target="https://centrodegestiongecc.onbmc.com/arsys/servlet/ViewFormServlet?form=HPD%3AHelp+Desk&amp;server=onbmc-s&amp;eid=INC000002841259" TargetMode="External"/><Relationship Id="rId11" Type="http://schemas.openxmlformats.org/officeDocument/2006/relationships/hyperlink" Target="https://centrodegestiongecc.onbmc.com/arsys/servlet/ViewFormServlet?form=HPD%3AHelp+Desk&amp;server=onbmc-s&amp;eid=INC000002913733" TargetMode="External"/><Relationship Id="rId24" Type="http://schemas.openxmlformats.org/officeDocument/2006/relationships/hyperlink" Target="https://centrodegestiongecc.onbmc.com/arsys/servlet/ViewFormServlet?form=HPD%3AHelp+Desk&amp;server=onbmc-s&amp;eid=INC000002862493" TargetMode="External"/><Relationship Id="rId32" Type="http://schemas.openxmlformats.org/officeDocument/2006/relationships/hyperlink" Target="https://centrodegestiongecc.onbmc.com/arsys/servlet/ViewFormServlet?form=HPD%3AHelp+Desk&amp;server=onbmc-s&amp;eid=INC000002584540" TargetMode="External"/><Relationship Id="rId37" Type="http://schemas.openxmlformats.org/officeDocument/2006/relationships/hyperlink" Target="https://centrodegestiongecc.onbmc.com/arsys/servlet/ViewFormServlet?form=HPD%3AHelp+Desk&amp;server=onbmc-s&amp;eid=INC000002940488" TargetMode="External"/><Relationship Id="rId40" Type="http://schemas.openxmlformats.org/officeDocument/2006/relationships/hyperlink" Target="https://centrodegestiongecc.onbmc.com/arsys/servlet/ViewFormServlet?form=HPD%3AHelp+Desk&amp;server=onbmc-s&amp;eid=INC000002946479" TargetMode="External"/><Relationship Id="rId45" Type="http://schemas.openxmlformats.org/officeDocument/2006/relationships/hyperlink" Target="https://centrodegestiongecc.onbmc.com/arsys/servlet/ViewFormServlet?form=HPD%3AHelp+Desk&amp;server=onbmc-s&amp;eid=INC000002968825" TargetMode="External"/><Relationship Id="rId53" Type="http://schemas.openxmlformats.org/officeDocument/2006/relationships/hyperlink" Target="https://centrodegestiongecc.onbmc.com/arsys/servlet/ViewFormServlet?form=HPD%3AHelp+Desk&amp;server=onbmc-s&amp;eid=INC000002984864" TargetMode="External"/><Relationship Id="rId58" Type="http://schemas.openxmlformats.org/officeDocument/2006/relationships/hyperlink" Target="https://centrodegestiongecc.onbmc.com/arsys/servlet/ViewFormServlet?form=HPD%3AHelp+Desk&amp;server=onbmc-s&amp;eid=INC000003001691" TargetMode="External"/><Relationship Id="rId66" Type="http://schemas.openxmlformats.org/officeDocument/2006/relationships/control" Target="../activeX/activeX1.xml"/><Relationship Id="rId5" Type="http://schemas.openxmlformats.org/officeDocument/2006/relationships/hyperlink" Target="https://centrodegestiongecc.onbmc.com/arsys/servlet/ViewFormServlet?form=HPD%3AHelp+Desk&amp;server=onbmc-s&amp;eid=INC000002893105" TargetMode="External"/><Relationship Id="rId61" Type="http://schemas.openxmlformats.org/officeDocument/2006/relationships/hyperlink" Target="https://centrodegestiongecc.onbmc.com/arsys/servlet/ViewFormServlet?form=HPD%3AHelp+Desk&amp;server=onbmc-s&amp;eid=INC000003005074" TargetMode="External"/><Relationship Id="rId19" Type="http://schemas.openxmlformats.org/officeDocument/2006/relationships/hyperlink" Target="https://centrodegestiongecc.onbmc.com/arsys/servlet/ViewFormServlet?form=HPD%3AHelp+Desk&amp;server=onbmc-s&amp;eid=INC000002244001" TargetMode="External"/><Relationship Id="rId14" Type="http://schemas.openxmlformats.org/officeDocument/2006/relationships/hyperlink" Target="https://centrodegestiongecc.onbmc.com/arsys/servlet/ViewFormServlet?form=HPD%3AHelp+Desk&amp;server=onbmc-s&amp;eid=INC000002923704" TargetMode="External"/><Relationship Id="rId22" Type="http://schemas.openxmlformats.org/officeDocument/2006/relationships/hyperlink" Target="https://centrodegestiongecc.onbmc.com/arsys/servlet/ViewFormServlet?form=HPD%3AHelp+Desk&amp;server=onbmc-s&amp;eid=INC000002850843" TargetMode="External"/><Relationship Id="rId27" Type="http://schemas.openxmlformats.org/officeDocument/2006/relationships/hyperlink" Target="https://centrodegestiongecc.onbmc.com/arsys/servlet/ViewFormServlet?form=HPD%3AHelp+Desk&amp;server=onbmc-s&amp;eid=INC000002880873" TargetMode="External"/><Relationship Id="rId30" Type="http://schemas.openxmlformats.org/officeDocument/2006/relationships/hyperlink" Target="https://centrodegestiongecc.onbmc.com/arsys/servlet/ViewFormServlet?form=HPD%3AHelp+Desk&amp;server=onbmc-s&amp;eid=INC000002754066" TargetMode="External"/><Relationship Id="rId35" Type="http://schemas.openxmlformats.org/officeDocument/2006/relationships/hyperlink" Target="https://centrodegestiongecc.onbmc.com/arsys/servlet/ViewFormServlet?form=HPD%3AHelp+Desk&amp;server=onbmc-s&amp;eid=INC000002937292" TargetMode="External"/><Relationship Id="rId43" Type="http://schemas.openxmlformats.org/officeDocument/2006/relationships/hyperlink" Target="https://centrodegestiongecc.onbmc.com/arsys/servlet/ViewFormServlet?form=HPD%3AHelp+Desk&amp;server=onbmc-s&amp;eid=INC000002954408" TargetMode="External"/><Relationship Id="rId48" Type="http://schemas.openxmlformats.org/officeDocument/2006/relationships/hyperlink" Target="https://centrodegestiongecc.onbmc.com/arsys/servlet/ViewFormServlet?form=HPD%3AHelp+Desk&amp;server=onbmc-s&amp;eid=INC000002964117" TargetMode="External"/><Relationship Id="rId56" Type="http://schemas.openxmlformats.org/officeDocument/2006/relationships/hyperlink" Target="https://centrodegestiongecc.onbmc.com/arsys/servlet/ViewFormServlet?form=HPD%3AHelp+Desk&amp;server=onbmc-s&amp;eid=INC000003000004" TargetMode="External"/><Relationship Id="rId64" Type="http://schemas.openxmlformats.org/officeDocument/2006/relationships/drawing" Target="../drawings/drawing1.xml"/><Relationship Id="rId69" Type="http://schemas.openxmlformats.org/officeDocument/2006/relationships/image" Target="../media/image2.emf"/><Relationship Id="rId8" Type="http://schemas.openxmlformats.org/officeDocument/2006/relationships/hyperlink" Target="https://centrodegestiongecc.onbmc.com/arsys/servlet/ViewFormServlet?form=HPD%3AHelp+Desk&amp;server=onbmc-s&amp;eid=INC000002578559" TargetMode="External"/><Relationship Id="rId51" Type="http://schemas.openxmlformats.org/officeDocument/2006/relationships/hyperlink" Target="https://centrodegestiongecc.onbmc.com/arsys/servlet/ViewFormServlet?form=HPD%3AHelp+Desk&amp;server=onbmc-s&amp;eid=INC000002975081" TargetMode="External"/><Relationship Id="rId72" Type="http://schemas.microsoft.com/office/2007/relationships/slicer" Target="../slicers/slicer1.xml"/><Relationship Id="rId3" Type="http://schemas.openxmlformats.org/officeDocument/2006/relationships/hyperlink" Target="https://centrodegestiongecc.onbmc.com/arsys/servlet/ViewFormServlet?form=HPD%3AHelp+Desk&amp;server=onbmc-s&amp;eid=INC000002881326" TargetMode="External"/><Relationship Id="rId12" Type="http://schemas.openxmlformats.org/officeDocument/2006/relationships/hyperlink" Target="https://centrodegestiongecc.onbmc.com/arsys/servlet/ViewFormServlet?form=HPD%3AHelp+Desk&amp;server=onbmc-s&amp;eid=INC000002922853" TargetMode="External"/><Relationship Id="rId17" Type="http://schemas.openxmlformats.org/officeDocument/2006/relationships/hyperlink" Target="https://centrodegestiongecc.onbmc.com/arsys/servlet/ViewFormServlet?form=HPD%3AHelp+Desk&amp;server=onbmc-s&amp;eid=INC000002928581" TargetMode="External"/><Relationship Id="rId25" Type="http://schemas.openxmlformats.org/officeDocument/2006/relationships/hyperlink" Target="https://centrodegestiongecc.onbmc.com/arsys/servlet/ViewFormServlet?form=HPD%3AHelp+Desk&amp;server=onbmc-s&amp;eid=INC000002876679" TargetMode="External"/><Relationship Id="rId33" Type="http://schemas.openxmlformats.org/officeDocument/2006/relationships/hyperlink" Target="https://centrodegestiongecc.onbmc.com/arsys/servlet/ViewFormServlet?form=HPD%3AHelp+Desk&amp;server=onbmc-s&amp;eid=INC000002614650" TargetMode="External"/><Relationship Id="rId38" Type="http://schemas.openxmlformats.org/officeDocument/2006/relationships/hyperlink" Target="https://centrodegestiongecc.onbmc.com/arsys/servlet/ViewFormServlet?form=HPD%3AHelp+Desk&amp;server=onbmc-s&amp;eid=INC000002941132" TargetMode="External"/><Relationship Id="rId46" Type="http://schemas.openxmlformats.org/officeDocument/2006/relationships/hyperlink" Target="https://centrodegestiongecc.onbmc.com/arsys/servlet/ViewFormServlet?form=HPD%3AHelp+Desk&amp;server=onbmc-s&amp;eid=INC000002969324" TargetMode="External"/><Relationship Id="rId59" Type="http://schemas.openxmlformats.org/officeDocument/2006/relationships/hyperlink" Target="https://centrodegestiongecc.onbmc.com/arsys/servlet/ViewFormServlet?form=HPD%3AHelp+Desk&amp;server=onbmc-s&amp;eid=INC000003004680" TargetMode="External"/><Relationship Id="rId67" Type="http://schemas.openxmlformats.org/officeDocument/2006/relationships/image" Target="../media/image1.emf"/><Relationship Id="rId20" Type="http://schemas.openxmlformats.org/officeDocument/2006/relationships/hyperlink" Target="https://centrodegestiongecc.onbmc.com/arsys/servlet/ViewFormServlet?form=HPD%3AHelp+Desk&amp;server=onbmc-s&amp;eid=INC000002545411" TargetMode="External"/><Relationship Id="rId41" Type="http://schemas.openxmlformats.org/officeDocument/2006/relationships/hyperlink" Target="https://centrodegestiongecc.onbmc.com/arsys/servlet/ViewFormServlet?form=HPD%3AHelp+Desk&amp;server=onbmc-s&amp;eid=INC000002824400" TargetMode="External"/><Relationship Id="rId54" Type="http://schemas.openxmlformats.org/officeDocument/2006/relationships/hyperlink" Target="https://centrodegestiongecc.onbmc.com/arsys/servlet/ViewFormServlet?form=HPD%3AHelp+Desk&amp;server=onbmc-s&amp;eid=INC000002985075" TargetMode="External"/><Relationship Id="rId62" Type="http://schemas.openxmlformats.org/officeDocument/2006/relationships/hyperlink" Target="https://centrodegestiongecc.onbmc.com/arsys/servlet/ViewFormServlet?form=HPD%3AHelp+Desk&amp;server=onbmc-s&amp;eid=INC000003004897" TargetMode="External"/><Relationship Id="rId70" Type="http://schemas.openxmlformats.org/officeDocument/2006/relationships/table" Target="../tables/table1.xml"/><Relationship Id="rId1" Type="http://schemas.openxmlformats.org/officeDocument/2006/relationships/hyperlink" Target="https://centrodegestiongecc.onbmc.com/arsys/servlet/ViewFormServlet?form=HPD%3AHelp+Desk&amp;server=onbmc-s&amp;eid=INC000002775690" TargetMode="External"/><Relationship Id="rId6" Type="http://schemas.openxmlformats.org/officeDocument/2006/relationships/hyperlink" Target="https://centrodegestiongecc.onbmc.com/arsys/servlet/ViewFormServlet?form=HPD%3AHelp+Desk&amp;server=onbmc-s&amp;eid=INC000002896570" TargetMode="External"/><Relationship Id="rId15" Type="http://schemas.openxmlformats.org/officeDocument/2006/relationships/hyperlink" Target="https://centrodegestiongecc.onbmc.com/arsys/servlet/ViewFormServlet?form=HPD%3AHelp+Desk&amp;server=onbmc-s&amp;eid=INC000002923789" TargetMode="External"/><Relationship Id="rId23" Type="http://schemas.openxmlformats.org/officeDocument/2006/relationships/hyperlink" Target="https://centrodegestiongecc.onbmc.com/arsys/servlet/ViewFormServlet?form=HPD%3AHelp+Desk&amp;server=onbmc-s&amp;eid=INC000002829894" TargetMode="External"/><Relationship Id="rId28" Type="http://schemas.openxmlformats.org/officeDocument/2006/relationships/hyperlink" Target="https://centrodegestiongecc.onbmc.com/arsys/servlet/ViewFormServlet?form=HPD%3AHelp+Desk&amp;server=onbmc-s&amp;eid=INC000002885574" TargetMode="External"/><Relationship Id="rId36" Type="http://schemas.openxmlformats.org/officeDocument/2006/relationships/hyperlink" Target="https://centrodegestiongecc.onbmc.com/arsys/servlet/ViewFormServlet?form=HPD%3AHelp+Desk&amp;server=onbmc-s&amp;eid=INC000002765161" TargetMode="External"/><Relationship Id="rId49" Type="http://schemas.openxmlformats.org/officeDocument/2006/relationships/hyperlink" Target="https://centrodegestiongecc.onbmc.com/arsys/servlet/ViewFormServlet?form=HPD%3AHelp+Desk&amp;server=onbmc-s&amp;eid=INC000002971917" TargetMode="External"/><Relationship Id="rId57" Type="http://schemas.openxmlformats.org/officeDocument/2006/relationships/hyperlink" Target="https://centrodegestiongecc.onbmc.com/arsys/servlet/ViewFormServlet?form=HPD%3AHelp+Desk&amp;server=onbmc-s&amp;eid=INC000003000004" TargetMode="External"/><Relationship Id="rId10" Type="http://schemas.openxmlformats.org/officeDocument/2006/relationships/hyperlink" Target="https://centrodegestiongecc.onbmc.com/arsys/forms/onbmc-s/SHR%3ALandingConsole/Default+Administrator+View/?cacheid=115090af" TargetMode="External"/><Relationship Id="rId31" Type="http://schemas.openxmlformats.org/officeDocument/2006/relationships/hyperlink" Target="https://centrodegestiongecc.onbmc.com/arsys/servlet/ViewFormServlet?form=HPD%3AHelp+Desk&amp;server=onbmc-s&amp;eid=INC000002856959" TargetMode="External"/><Relationship Id="rId44" Type="http://schemas.openxmlformats.org/officeDocument/2006/relationships/hyperlink" Target="https://centrodegestiongecc.onbmc.com/arsys/servlet/ViewFormServlet?form=HPD%3AHelp+Desk&amp;server=onbmc-s&amp;eid=INC000002968218" TargetMode="External"/><Relationship Id="rId52" Type="http://schemas.openxmlformats.org/officeDocument/2006/relationships/hyperlink" Target="https://centrodegestiongecc.onbmc.com/arsys/servlet/ViewFormServlet?form=HPD%3AHelp+Desk&amp;server=onbmc-s&amp;eid=INC000002978876" TargetMode="External"/><Relationship Id="rId60" Type="http://schemas.openxmlformats.org/officeDocument/2006/relationships/hyperlink" Target="https://centrodegestiongecc.onbmc.com/arsys/servlet/ViewFormServlet?form=HPD%3AHelp+Desk&amp;server=onbmc-s&amp;eid=INC000003004555" TargetMode="External"/><Relationship Id="rId65" Type="http://schemas.openxmlformats.org/officeDocument/2006/relationships/vmlDrawing" Target="../drawings/vmlDrawing1.vml"/><Relationship Id="rId4" Type="http://schemas.openxmlformats.org/officeDocument/2006/relationships/hyperlink" Target="https://centrodegestiongecc.onbmc.com/arsys/servlet/ViewFormServlet?form=HPD%3AHelp+Desk&amp;server=onbmc-s&amp;eid=INC000002882350" TargetMode="External"/><Relationship Id="rId9" Type="http://schemas.openxmlformats.org/officeDocument/2006/relationships/hyperlink" Target="https://centrodegestiongecc.onbmc.com/arsys/forms/onbmc-s/SHR%3ALandingConsole/Default+Administrator+View/?cacheid=115090af" TargetMode="External"/><Relationship Id="rId13" Type="http://schemas.openxmlformats.org/officeDocument/2006/relationships/hyperlink" Target="https://centrodegestiongecc.onbmc.com/arsys/servlet/ViewFormServlet?form=HPD%3AHelp+Desk&amp;server=onbmc-s&amp;eid=INC000002923370" TargetMode="External"/><Relationship Id="rId18" Type="http://schemas.openxmlformats.org/officeDocument/2006/relationships/hyperlink" Target="https://centrodegestiongecc.onbmc.com/arsys/servlet/ViewFormServlet?form=HPD%3AHelp+Desk&amp;server=onbmc-s&amp;eid=INC000002886996" TargetMode="External"/><Relationship Id="rId39" Type="http://schemas.openxmlformats.org/officeDocument/2006/relationships/hyperlink" Target="https://centrodegestiongecc.onbmc.com/arsys/servlet/ViewFormServlet?form=HPD%3AHelp+Desk&amp;server=onbmc-s&amp;eid=INC000002945612" TargetMode="External"/><Relationship Id="rId34" Type="http://schemas.openxmlformats.org/officeDocument/2006/relationships/hyperlink" Target="https://centrodegestiongecc.onbmc.com/arsys/servlet/ViewFormServlet?form=HPD%3AHelp+Desk&amp;server=onbmc-s&amp;eid=INC000002790467" TargetMode="External"/><Relationship Id="rId50" Type="http://schemas.openxmlformats.org/officeDocument/2006/relationships/hyperlink" Target="https://centrodegestiongecc.onbmc.com/arsys/servlet/ViewFormServlet?form=HPD%3AHelp+Desk&amp;server=onbmc-s&amp;eid=INC000002972489" TargetMode="External"/><Relationship Id="rId55" Type="http://schemas.openxmlformats.org/officeDocument/2006/relationships/hyperlink" Target="https://centrodegestiongecc.onbmc.com/arsys/servlet/ViewFormServlet?form=HPD%3AHelp+Desk&amp;server=onbmc-s&amp;eid=INC000002993736"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8" Type="http://schemas.openxmlformats.org/officeDocument/2006/relationships/hyperlink" Target="https://centrodegestiongecc.onbmc.com/arsys/servlet/ViewFormServlet?form=HPD%3AHelp+Desk&amp;server=onbmc-s&amp;eid=INC000002945612" TargetMode="External"/><Relationship Id="rId13" Type="http://schemas.openxmlformats.org/officeDocument/2006/relationships/hyperlink" Target="https://centrodegestiongecc.onbmc.com/arsys/servlet/ViewFormServlet?form=HPD%3AHelp+Desk&amp;server=onbmc-s&amp;eid=INC000002754066" TargetMode="External"/><Relationship Id="rId18" Type="http://schemas.openxmlformats.org/officeDocument/2006/relationships/hyperlink" Target="https://centrodegestiongecc.onbmc.com/arsys/servlet/ViewFormServlet?form=HPD%3AHelp+Desk&amp;server=onbmc-s&amp;eid=INC000002584540" TargetMode="External"/><Relationship Id="rId3" Type="http://schemas.openxmlformats.org/officeDocument/2006/relationships/hyperlink" Target="https://centrodegestiongecc.onbmc.com/arsys/servlet/ViewFormServlet?form=HPD%3AHelp+Desk&amp;server=onbmc-s&amp;eid=INC000002968825" TargetMode="External"/><Relationship Id="rId21" Type="http://schemas.openxmlformats.org/officeDocument/2006/relationships/table" Target="../tables/table11.xml"/><Relationship Id="rId7" Type="http://schemas.openxmlformats.org/officeDocument/2006/relationships/hyperlink" Target="https://centrodegestiongecc.onbmc.com/arsys/servlet/ViewFormServlet?form=HPD%3AHelp+Desk&amp;server=onbmc-s&amp;eid=INC000002846560" TargetMode="External"/><Relationship Id="rId12" Type="http://schemas.openxmlformats.org/officeDocument/2006/relationships/hyperlink" Target="https://centrodegestiongecc.onbmc.com/arsys/servlet/ViewFormServlet?form=HPD%3AHelp+Desk&amp;server=onbmc-s&amp;eid=INC000002841259" TargetMode="External"/><Relationship Id="rId17" Type="http://schemas.openxmlformats.org/officeDocument/2006/relationships/hyperlink" Target="https://centrodegestiongecc.onbmc.com/arsys/servlet/ViewFormServlet?form=HPD%3AHelp+Desk&amp;server=onbmc-s&amp;eid=INC000002880632" TargetMode="External"/><Relationship Id="rId2" Type="http://schemas.openxmlformats.org/officeDocument/2006/relationships/hyperlink" Target="https://centrodegestiongecc.onbmc.com/arsys/servlet/ViewFormServlet?form=HPD%3AHelp+Desk&amp;server=onbmc-s&amp;eid=INC000002968218" TargetMode="External"/><Relationship Id="rId16" Type="http://schemas.openxmlformats.org/officeDocument/2006/relationships/hyperlink" Target="https://centrodegestiongecc.onbmc.com/arsys/servlet/ViewFormServlet?form=HPD%3AHelp+Desk&amp;server=onbmc-s&amp;eid=INC000002578559" TargetMode="External"/><Relationship Id="rId20" Type="http://schemas.openxmlformats.org/officeDocument/2006/relationships/hyperlink" Target="https://centrodegestiongecc.onbmc.com/arsys/servlet/ViewFormServlet?form=HPD%3AHelp+Desk&amp;server=onbmc-s&amp;eid=INC000002969324" TargetMode="External"/><Relationship Id="rId1" Type="http://schemas.openxmlformats.org/officeDocument/2006/relationships/hyperlink" Target="https://centrodegestiongecc.onbmc.com/arsys/servlet/ViewFormServlet?form=HPD%3AHelp+Desk&amp;server=onbmc-s&amp;eid=INC000002951588" TargetMode="External"/><Relationship Id="rId6" Type="http://schemas.openxmlformats.org/officeDocument/2006/relationships/hyperlink" Target="https://centrodegestiongecc.onbmc.com/arsys/servlet/ViewFormServlet?form=HPD%3AHelp+Desk&amp;server=onbmc-s&amp;eid=INC000002899108" TargetMode="External"/><Relationship Id="rId11" Type="http://schemas.openxmlformats.org/officeDocument/2006/relationships/hyperlink" Target="https://centrodegestiongecc.onbmc.com/arsys/forms/onbmc-s/SHR%3ALandingConsole/Default+Administrator+View/?cacheid=115090af" TargetMode="External"/><Relationship Id="rId5" Type="http://schemas.openxmlformats.org/officeDocument/2006/relationships/hyperlink" Target="https://centrodegestiongecc.onbmc.com/arsys/servlet/ViewFormServlet?form=HPD%3AHelp+Desk&amp;server=onbmc-s&amp;eid=INC000002928581" TargetMode="External"/><Relationship Id="rId15" Type="http://schemas.openxmlformats.org/officeDocument/2006/relationships/hyperlink" Target="https://centrodegestiongecc.onbmc.com/arsys/servlet/ViewFormServlet?form=HPD%3AHelp+Desk&amp;server=onbmc-s&amp;eid=INC000002765161" TargetMode="External"/><Relationship Id="rId10" Type="http://schemas.openxmlformats.org/officeDocument/2006/relationships/hyperlink" Target="https://centrodegestiongecc.onbmc.com/arsys/servlet/ViewFormServlet?form=HPD%3AHelp+Desk&amp;server=onbmc-s&amp;eid=INC000002775690" TargetMode="External"/><Relationship Id="rId19" Type="http://schemas.openxmlformats.org/officeDocument/2006/relationships/hyperlink" Target="https://centrodegestiongecc.onbmc.com/arsys/servlet/ViewFormServlet?form=HPD%3AHelp+Desk&amp;server=onbmc-s&amp;eid=INC000002941132" TargetMode="External"/><Relationship Id="rId4" Type="http://schemas.openxmlformats.org/officeDocument/2006/relationships/hyperlink" Target="https://centrodegestiongecc.onbmc.com/arsys/servlet/ViewFormServlet?form=HPD%3AHelp+Desk&amp;server=onbmc-s&amp;eid=INC000002923704" TargetMode="External"/><Relationship Id="rId9" Type="http://schemas.openxmlformats.org/officeDocument/2006/relationships/hyperlink" Target="https://centrodegestiongecc.onbmc.com/arsys/servlet/ViewFormServlet?form=HPD%3AHelp+Desk&amp;server=onbmc-s&amp;eid=INC000002880873" TargetMode="External"/><Relationship Id="rId14" Type="http://schemas.openxmlformats.org/officeDocument/2006/relationships/hyperlink" Target="https://centrodegestiongecc.onbmc.com/arsys/servlet/ViewFormServlet?form=HPD%3AHelp+Desk&amp;server=onbmc-s&amp;eid=INC000002614650" TargetMode="External"/><Relationship Id="rId22"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877A5-E125-41C6-AC4A-BC5C5486FE1E}">
  <sheetPr codeName="Hoja3"/>
  <dimension ref="A1:L13"/>
  <sheetViews>
    <sheetView workbookViewId="0">
      <selection activeCell="E15" sqref="E15"/>
    </sheetView>
  </sheetViews>
  <sheetFormatPr baseColWidth="10" defaultColWidth="11.42578125" defaultRowHeight="15" x14ac:dyDescent="0.25"/>
  <cols>
    <col min="3" max="3" width="21.85546875" bestFit="1" customWidth="1"/>
    <col min="4" max="4" width="22.85546875" customWidth="1"/>
    <col min="5" max="5" width="24" bestFit="1" customWidth="1"/>
    <col min="6" max="6" width="31.7109375" customWidth="1"/>
    <col min="7" max="7" width="28.42578125" customWidth="1"/>
    <col min="8" max="8" width="17.140625" customWidth="1"/>
    <col min="9" max="9" width="26.140625" customWidth="1"/>
    <col min="10" max="10" width="28.85546875" customWidth="1"/>
  </cols>
  <sheetData>
    <row r="1" spans="1:12" s="6" customFormat="1" ht="75" x14ac:dyDescent="0.25">
      <c r="C1" s="7" t="s">
        <v>0</v>
      </c>
      <c r="D1" s="7" t="s">
        <v>1</v>
      </c>
      <c r="E1" s="8" t="s">
        <v>2</v>
      </c>
      <c r="F1" s="7" t="s">
        <v>3</v>
      </c>
      <c r="G1" s="7" t="s">
        <v>4</v>
      </c>
      <c r="H1" s="7" t="s">
        <v>5</v>
      </c>
      <c r="I1" s="7" t="s">
        <v>6</v>
      </c>
      <c r="J1" s="7" t="s">
        <v>7</v>
      </c>
    </row>
    <row r="2" spans="1:12" x14ac:dyDescent="0.25">
      <c r="C2" s="9" t="s">
        <v>8</v>
      </c>
      <c r="D2" s="10" t="s">
        <v>9</v>
      </c>
      <c r="E2" s="9" t="s">
        <v>10</v>
      </c>
      <c r="F2" s="9" t="s">
        <v>11</v>
      </c>
      <c r="G2" s="9" t="s">
        <v>12</v>
      </c>
      <c r="H2" s="2" t="s">
        <v>13</v>
      </c>
      <c r="I2" s="9" t="s">
        <v>14</v>
      </c>
      <c r="J2" s="9" t="s">
        <v>15</v>
      </c>
    </row>
    <row r="3" spans="1:12" x14ac:dyDescent="0.25">
      <c r="C3" s="11">
        <v>847</v>
      </c>
      <c r="D3" s="12">
        <v>889</v>
      </c>
      <c r="E3" s="13">
        <v>860</v>
      </c>
      <c r="F3" s="14">
        <v>898</v>
      </c>
      <c r="G3" s="15">
        <v>839</v>
      </c>
      <c r="H3" s="11">
        <v>674</v>
      </c>
      <c r="I3" s="11">
        <v>908</v>
      </c>
      <c r="J3" s="11">
        <v>915</v>
      </c>
    </row>
    <row r="4" spans="1:12" x14ac:dyDescent="0.25">
      <c r="A4" s="2" t="s">
        <v>16</v>
      </c>
      <c r="B4" s="16"/>
      <c r="C4" s="11">
        <v>848</v>
      </c>
      <c r="D4" s="15">
        <v>895</v>
      </c>
      <c r="E4" s="17">
        <v>879</v>
      </c>
      <c r="F4" s="14">
        <v>899</v>
      </c>
      <c r="G4" s="18">
        <v>935</v>
      </c>
      <c r="H4" s="19">
        <v>893</v>
      </c>
    </row>
    <row r="5" spans="1:12" x14ac:dyDescent="0.25">
      <c r="A5" s="2" t="s">
        <v>17</v>
      </c>
      <c r="B5" s="17"/>
      <c r="C5" s="11">
        <v>849</v>
      </c>
      <c r="D5" s="15">
        <v>917</v>
      </c>
      <c r="E5" s="17">
        <v>880</v>
      </c>
      <c r="F5" s="11">
        <v>903</v>
      </c>
      <c r="K5" s="1"/>
      <c r="L5" s="20"/>
    </row>
    <row r="6" spans="1:12" x14ac:dyDescent="0.25">
      <c r="C6" s="11">
        <v>862</v>
      </c>
      <c r="D6" s="18">
        <v>921</v>
      </c>
      <c r="E6" s="17">
        <v>887</v>
      </c>
      <c r="F6" s="11">
        <v>916</v>
      </c>
      <c r="K6" s="1"/>
      <c r="L6" s="20"/>
    </row>
    <row r="7" spans="1:12" x14ac:dyDescent="0.25">
      <c r="C7" s="11">
        <v>866</v>
      </c>
      <c r="D7" s="18">
        <v>922</v>
      </c>
      <c r="E7" s="17">
        <v>932</v>
      </c>
      <c r="F7" s="14">
        <v>918</v>
      </c>
      <c r="K7" s="1"/>
      <c r="L7" s="20"/>
    </row>
    <row r="8" spans="1:12" x14ac:dyDescent="0.25">
      <c r="C8" s="11">
        <v>878</v>
      </c>
      <c r="D8" s="14">
        <v>923</v>
      </c>
      <c r="F8" s="14">
        <v>919</v>
      </c>
      <c r="J8" s="1"/>
      <c r="K8" s="1"/>
      <c r="L8" s="20"/>
    </row>
    <row r="9" spans="1:12" x14ac:dyDescent="0.25">
      <c r="C9" s="16">
        <v>930</v>
      </c>
      <c r="D9" s="14">
        <v>934</v>
      </c>
      <c r="F9" s="14">
        <v>920</v>
      </c>
      <c r="J9" s="1"/>
      <c r="K9" s="1"/>
      <c r="L9" s="20"/>
    </row>
    <row r="10" spans="1:12" x14ac:dyDescent="0.25">
      <c r="D10" s="11">
        <v>936</v>
      </c>
      <c r="F10" s="11">
        <v>925</v>
      </c>
      <c r="J10" s="1"/>
      <c r="K10" s="1"/>
      <c r="L10" s="20"/>
    </row>
    <row r="11" spans="1:12" x14ac:dyDescent="0.25">
      <c r="F11" s="14">
        <v>933</v>
      </c>
      <c r="J11" s="1"/>
      <c r="K11" s="1"/>
      <c r="L11" s="20"/>
    </row>
    <row r="12" spans="1:12" x14ac:dyDescent="0.25">
      <c r="J12" s="1"/>
      <c r="K12" s="1"/>
      <c r="L12" s="20"/>
    </row>
    <row r="13" spans="1:12" x14ac:dyDescent="0.25">
      <c r="J13" s="1"/>
      <c r="K13" s="20"/>
    </row>
  </sheetData>
  <autoFilter ref="C2:J12" xr:uid="{850B6F29-111C-47EE-BC82-6F17041D11B8}"/>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21FFE-FBCE-4736-9395-4AD7C0B339E4}">
  <sheetPr codeName="Hoja1">
    <tabColor rgb="FF00B0F0"/>
  </sheetPr>
  <dimension ref="A1:AA120"/>
  <sheetViews>
    <sheetView showGridLines="0" tabSelected="1" zoomScale="70" zoomScaleNormal="70" workbookViewId="0">
      <pane xSplit="5" ySplit="16" topLeftCell="R53" activePane="bottomRight" state="frozen"/>
      <selection pane="topRight" activeCell="F1" sqref="F1"/>
      <selection pane="bottomLeft" activeCell="A12" sqref="A12"/>
      <selection pane="bottomRight" activeCell="V55" sqref="V55"/>
    </sheetView>
  </sheetViews>
  <sheetFormatPr baseColWidth="10" defaultColWidth="11.42578125" defaultRowHeight="15" x14ac:dyDescent="0.25"/>
  <cols>
    <col min="1" max="1" width="9.85546875" customWidth="1"/>
    <col min="2" max="2" width="24.42578125" customWidth="1"/>
    <col min="3" max="3" width="70" customWidth="1"/>
    <col min="4" max="5" width="13.140625" customWidth="1"/>
    <col min="6" max="6" width="12.5703125" customWidth="1"/>
    <col min="7" max="7" width="14.28515625" customWidth="1"/>
    <col min="8" max="8" width="12.140625" style="1" customWidth="1"/>
    <col min="9" max="9" width="15.140625" style="1" customWidth="1"/>
    <col min="10" max="13" width="15.140625" customWidth="1"/>
    <col min="14" max="14" width="14.7109375" customWidth="1"/>
    <col min="15" max="15" width="18.85546875" customWidth="1"/>
    <col min="16" max="16" width="16.28515625" customWidth="1"/>
    <col min="17" max="17" width="30.28515625" customWidth="1"/>
    <col min="18" max="18" width="33.85546875" customWidth="1"/>
    <col min="19" max="19" width="15.85546875" customWidth="1"/>
    <col min="20" max="20" width="21.28515625" customWidth="1"/>
    <col min="21" max="21" width="15.5703125" customWidth="1"/>
    <col min="22" max="22" width="13.85546875" customWidth="1"/>
    <col min="23" max="23" width="32.140625" bestFit="1" customWidth="1"/>
    <col min="24" max="24" width="15.5703125" customWidth="1"/>
    <col min="27" max="27" width="33.28515625" bestFit="1" customWidth="1"/>
  </cols>
  <sheetData>
    <row r="1" spans="1:27" ht="15.75" x14ac:dyDescent="0.25">
      <c r="C1" s="1">
        <f ca="1">+TODAY()</f>
        <v>45911</v>
      </c>
      <c r="G1" s="85"/>
      <c r="Q1" s="91" t="s">
        <v>21</v>
      </c>
      <c r="R1" s="93">
        <f>+COUNTIFS(Control[Progreso],Q1,Control[Estado],"En curso")</f>
        <v>0</v>
      </c>
      <c r="S1" s="122">
        <f>+COUNTIFS(Control[Progreso],Q1,Control[Estado],"En curso")-COUNTIFS(Control[Progreso],Q1,Control[Estado],"En curso",Control[Estado_Remedy],"No encontrado")</f>
        <v>0</v>
      </c>
      <c r="T1" s="238" cm="1">
        <f t="array" ref="T1">SUMPRODUCT((Control[Estado]="en curso")*(Control[Progreso]=Q1)*(Control[Asignado A]="Luis Enrique Rojas Villota"))</f>
        <v>0</v>
      </c>
      <c r="V1" s="54" t="s">
        <v>18</v>
      </c>
      <c r="W1" s="2">
        <f>+COUNTIFS(Control[Proveedor],V1,Control[Estado],"En curso")</f>
        <v>3</v>
      </c>
      <c r="AA1" t="s">
        <v>19</v>
      </c>
    </row>
    <row r="2" spans="1:27" ht="15.75" x14ac:dyDescent="0.25">
      <c r="G2" t="s">
        <v>1057</v>
      </c>
      <c r="Q2" s="41" t="s">
        <v>23</v>
      </c>
      <c r="R2" s="93">
        <f>+COUNTIFS(Control[Progreso],Q2,Control[Estado],"En curso")</f>
        <v>5</v>
      </c>
      <c r="S2" s="122">
        <f>+COUNTIFS(Control[Progreso],Q2,Control[Estado],"En curso")-COUNTIFS(Control[Progreso],Q2,Control[Estado],"En curso",Control[Estado_Remedy],"No encontrado")</f>
        <v>5</v>
      </c>
      <c r="T2" s="238" cm="1">
        <f t="array" ref="T2">SUMPRODUCT((Control[Estado]="en curso")*(Control[Progreso]=Q2)*(Control[Asignado A]="Luis Enrique Rojas Villota"))</f>
        <v>5</v>
      </c>
      <c r="V2" s="55" t="s">
        <v>20</v>
      </c>
      <c r="W2" s="2">
        <f>+COUNTIFS(Control[Proveedor],V2,Control[Estado],"En curso")</f>
        <v>20</v>
      </c>
      <c r="AA2" t="s">
        <v>21</v>
      </c>
    </row>
    <row r="3" spans="1:27" ht="16.5" thickBot="1" x14ac:dyDescent="0.3">
      <c r="G3" s="82"/>
      <c r="H3" s="100"/>
      <c r="K3">
        <f>3000*0.4</f>
        <v>1200</v>
      </c>
      <c r="Q3" s="91" t="s">
        <v>25</v>
      </c>
      <c r="R3" s="93">
        <f>+COUNTIFS(Control[Progreso],Q3,Control[Estado],"En curso")</f>
        <v>3</v>
      </c>
      <c r="S3" s="122">
        <f>+COUNTIFS(Control[Progreso],Q3,Control[Estado],"En curso")-COUNTIFS(Control[Progreso],Q3,Control[Estado],"En curso",Control[Estado_Remedy],"No encontrado")</f>
        <v>3</v>
      </c>
      <c r="T3" s="238" cm="1">
        <f t="array" ref="T3">SUMPRODUCT((Control[Estado]="en curso")*(Control[Progreso]=Q3)*(Control[Asignado A]="Luis Enrique Rojas Villota"))</f>
        <v>3</v>
      </c>
      <c r="V3" s="37" t="s">
        <v>22</v>
      </c>
      <c r="W3" s="21">
        <f>+COUNTIFS(Control[Proveedor],V3,Control[Estado],"En curso")</f>
        <v>4</v>
      </c>
      <c r="AA3" t="s">
        <v>23</v>
      </c>
    </row>
    <row r="4" spans="1:27" ht="16.5" thickBot="1" x14ac:dyDescent="0.3">
      <c r="K4">
        <f>+K3+3000</f>
        <v>4200</v>
      </c>
      <c r="L4">
        <f>+K4/2</f>
        <v>2100</v>
      </c>
      <c r="Q4" s="40" t="s">
        <v>26</v>
      </c>
      <c r="R4" s="93">
        <f>+COUNTIFS(Control[Progreso],Q4,Control[Estado],"En curso")</f>
        <v>4</v>
      </c>
      <c r="S4" s="122">
        <f>+COUNTIFS(Control[Progreso],Q4,Control[Estado],"En curso")-COUNTIFS(Control[Progreso],Q4,Control[Estado],"En curso",Control[Estado_Remedy],"No encontrado")</f>
        <v>4</v>
      </c>
      <c r="T4" s="238" cm="1">
        <f t="array" ref="T4">SUMPRODUCT((Control[Estado]="en curso")*(Control[Progreso]=Q4)*(Control[Asignado A]="Luis Enrique Rojas Villota"))</f>
        <v>4</v>
      </c>
      <c r="V4" s="39" t="s">
        <v>24</v>
      </c>
      <c r="W4" s="38">
        <f>+SUM(W1:W3)</f>
        <v>27</v>
      </c>
      <c r="AA4" t="s">
        <v>25</v>
      </c>
    </row>
    <row r="5" spans="1:27" ht="15.75" x14ac:dyDescent="0.25">
      <c r="Q5" s="91" t="s">
        <v>944</v>
      </c>
      <c r="R5" s="93">
        <f>+COUNTIFS(Control[Progreso],Q5,Control[Estado],"En curso")</f>
        <v>3</v>
      </c>
      <c r="S5" s="122">
        <f>+COUNTIFS(Control[Progreso],Q5,Control[Estado],"En curso")-COUNTIFS(Control[Progreso],Q5,Control[Estado],"En curso",Control[Estado_Remedy],"No encontrado")</f>
        <v>3</v>
      </c>
      <c r="T5" s="238" cm="1">
        <f t="array" ref="T5">SUMPRODUCT((Control[Estado]="en curso")*(Control[Progreso]=Q5)*(Control[Asignado A]="Luis Enrique Rojas Villota"))</f>
        <v>3</v>
      </c>
      <c r="AA5" t="s">
        <v>26</v>
      </c>
    </row>
    <row r="6" spans="1:27" ht="15.75" x14ac:dyDescent="0.25">
      <c r="G6" t="s">
        <v>737</v>
      </c>
      <c r="Q6" s="91" t="s">
        <v>27</v>
      </c>
      <c r="R6" s="93">
        <f>+COUNTIFS(Control[Progreso],Q6,Control[Estado],"En curso")</f>
        <v>3</v>
      </c>
      <c r="S6" s="122">
        <f>+COUNTIFS(Control[Progreso],Q6,Control[Estado],"En curso")-COUNTIFS(Control[Progreso],Q6,Control[Estado],"En curso",Control[Estado_Remedy],"No encontrado")</f>
        <v>3</v>
      </c>
      <c r="T6" s="238" cm="1">
        <f t="array" ref="T6">SUMPRODUCT((Control[Estado]="en curso")*(Control[Progreso]=Q6)*(Control[Asignado A]="Luis Enrique Rojas Villota"))</f>
        <v>3</v>
      </c>
      <c r="AA6" t="s">
        <v>944</v>
      </c>
    </row>
    <row r="7" spans="1:27" ht="15.75" x14ac:dyDescent="0.25">
      <c r="G7" s="101"/>
      <c r="H7" s="102"/>
      <c r="I7" s="102"/>
      <c r="J7" s="101"/>
      <c r="K7" s="101"/>
      <c r="L7" s="101"/>
      <c r="M7" s="101"/>
      <c r="Q7" s="91" t="s">
        <v>28</v>
      </c>
      <c r="R7" s="93">
        <f>+COUNTIFS(Control[Progreso],Q7,Control[Estado],"En curso")</f>
        <v>1</v>
      </c>
      <c r="S7" s="122">
        <f>+COUNTIFS(Control[Progreso],Q7,Control[Estado],"En curso")-COUNTIFS(Control[Progreso],Q7,Control[Estado],"En curso",Control[Estado_Remedy],"No encontrado")</f>
        <v>1</v>
      </c>
      <c r="T7" s="238" cm="1">
        <f t="array" ref="T7">SUMPRODUCT((Control[Estado]="en curso")*(Control[Progreso]=Q7)*(Control[Asignado A]="Luis Enrique Rojas Villota"))</f>
        <v>1</v>
      </c>
      <c r="AA7" s="72" t="s">
        <v>27</v>
      </c>
    </row>
    <row r="8" spans="1:27" ht="15.75" x14ac:dyDescent="0.25">
      <c r="G8" s="101"/>
      <c r="H8" s="103"/>
      <c r="I8" s="103"/>
      <c r="J8" s="101"/>
      <c r="K8" s="101"/>
      <c r="L8" s="101"/>
      <c r="M8" s="101"/>
      <c r="Q8" s="92" t="s">
        <v>29</v>
      </c>
      <c r="R8" s="93">
        <f>+COUNTIFS(Control[Progreso],Q8,Control[Estado],"En curso")</f>
        <v>3</v>
      </c>
      <c r="S8" s="122">
        <f>+COUNTIFS(Control[Progreso],Q8,Control[Estado],"En curso")-COUNTIFS(Control[Progreso],Q8,Control[Estado],"En curso",Control[Estado_Remedy],"No encontrado")</f>
        <v>3</v>
      </c>
      <c r="T8" s="238" cm="1">
        <f t="array" ref="T8">SUMPRODUCT((Control[Estado]="en curso")*(Control[Progreso]=Q8)*(Control[Asignado A]="Luis Enrique Rojas Villota"))</f>
        <v>3</v>
      </c>
      <c r="AA8" t="s">
        <v>28</v>
      </c>
    </row>
    <row r="9" spans="1:27" ht="15.75" x14ac:dyDescent="0.25">
      <c r="A9" s="1">
        <v>45909</v>
      </c>
      <c r="G9" s="103"/>
      <c r="H9" s="103"/>
      <c r="I9" s="103"/>
      <c r="J9" s="103"/>
      <c r="K9" s="101"/>
      <c r="L9" s="101"/>
      <c r="M9" s="101"/>
      <c r="Q9" s="86" t="s">
        <v>30</v>
      </c>
      <c r="R9" s="93">
        <f>+COUNTIFS(Control[Progreso],Q9,Control[Estado],"En curso")</f>
        <v>5</v>
      </c>
      <c r="S9" s="122">
        <f>+COUNTIFS(Control[Progreso],Q9,Control[Estado],"En curso")-COUNTIFS(Control[Progreso],Q9,Control[Estado],"En curso",Control[Estado_Remedy],"No encontrado")</f>
        <v>5</v>
      </c>
      <c r="T9" s="238" cm="1">
        <f t="array" ref="T9">SUMPRODUCT((Control[Estado]="en curso")*(Control[Progreso]=Q9)*(Control[Asignado A]="Luis Enrique Rojas Villota"))</f>
        <v>4</v>
      </c>
      <c r="AA9" t="s">
        <v>29</v>
      </c>
    </row>
    <row r="10" spans="1:27" ht="15.75" x14ac:dyDescent="0.25">
      <c r="A10" s="135">
        <v>0.38819444444444445</v>
      </c>
      <c r="G10" s="103"/>
      <c r="H10" s="103"/>
      <c r="I10" s="103"/>
      <c r="J10" s="103"/>
      <c r="K10" s="101"/>
      <c r="L10" s="101"/>
      <c r="M10" s="101"/>
      <c r="Q10" s="87" t="s">
        <v>31</v>
      </c>
      <c r="R10" s="93">
        <f>+COUNTIFS(Control[Progreso],Q10,Control[Estado],"En curso")</f>
        <v>0</v>
      </c>
      <c r="S10" s="122">
        <f>+COUNTIFS(Control[Progreso],Q10,Control[Estado],"En curso")-COUNTIFS(Control[Progreso],Q10,Control[Estado],"En curso",Control[Estado_Remedy],"No encontrado")</f>
        <v>0</v>
      </c>
      <c r="T10" s="238" cm="1">
        <f t="array" ref="T10">SUMPRODUCT((Control[Estado]="en curso")*(Control[Progreso]=Q10)*(Control[Asignado A]="Luis Enrique Rojas Villota"))</f>
        <v>0</v>
      </c>
      <c r="V10" t="s">
        <v>484</v>
      </c>
      <c r="AA10" t="s">
        <v>30</v>
      </c>
    </row>
    <row r="11" spans="1:27" ht="16.5" thickBot="1" x14ac:dyDescent="0.3">
      <c r="G11" s="103"/>
      <c r="H11" s="103"/>
      <c r="I11" s="103"/>
      <c r="J11" s="103"/>
      <c r="K11" s="101"/>
      <c r="L11" s="101"/>
      <c r="M11" s="101"/>
      <c r="Q11" s="134" t="s">
        <v>55</v>
      </c>
      <c r="R11" s="93">
        <f>+COUNTIFS(Control[Progreso],Q11,Control[Estado],"En curso")</f>
        <v>0</v>
      </c>
      <c r="S11" s="122">
        <f>+COUNTIFS(Control[Progreso],Q11,Control[Estado],"En curso")-COUNTIFS(Control[Progreso],Q11,Control[Estado],"En curso",Control[Estado_Remedy],"No encontrado")</f>
        <v>0</v>
      </c>
      <c r="T11" s="238" cm="1">
        <f t="array" ref="T11">SUMPRODUCT((Control[Estado]="en curso")*(Control[Progreso]=Q11)*(Control[Asignado A]="Luis Enrique Rojas Villota"))</f>
        <v>0</v>
      </c>
      <c r="AA11" t="s">
        <v>31</v>
      </c>
    </row>
    <row r="12" spans="1:27" ht="15.75" thickBot="1" x14ac:dyDescent="0.3">
      <c r="G12" s="103"/>
      <c r="H12" s="103"/>
      <c r="I12" s="103"/>
      <c r="J12" s="103"/>
      <c r="K12" s="101"/>
      <c r="L12" s="101"/>
      <c r="M12" s="104"/>
      <c r="Q12" s="39" t="s">
        <v>24</v>
      </c>
      <c r="R12" s="94">
        <f>+SUM(R2:R11)</f>
        <v>27</v>
      </c>
      <c r="S12" s="94">
        <f>+SUM(S2:S11)</f>
        <v>27</v>
      </c>
      <c r="T12" s="94">
        <f>+SUM(T2:T11)</f>
        <v>26</v>
      </c>
      <c r="AA12" t="s">
        <v>55</v>
      </c>
    </row>
    <row r="13" spans="1:27" x14ac:dyDescent="0.25">
      <c r="G13" s="101"/>
      <c r="H13" s="102"/>
      <c r="I13" s="102"/>
      <c r="J13" s="101"/>
      <c r="K13" s="101"/>
      <c r="L13" s="101"/>
      <c r="M13" s="101"/>
      <c r="AA13" t="s">
        <v>1271</v>
      </c>
    </row>
    <row r="14" spans="1:27" x14ac:dyDescent="0.25">
      <c r="G14" s="101"/>
      <c r="H14" s="102"/>
      <c r="I14" s="102"/>
      <c r="J14" s="101"/>
      <c r="K14" s="101"/>
      <c r="L14" s="101"/>
      <c r="M14" s="101"/>
    </row>
    <row r="15" spans="1:27" ht="15.75" x14ac:dyDescent="0.25">
      <c r="G15">
        <f ca="1">+SUBTOTAL(1,Control[Días])</f>
        <v>169.35236325445806</v>
      </c>
      <c r="O15" s="23"/>
    </row>
    <row r="16" spans="1:27" ht="32.25" customHeight="1" x14ac:dyDescent="0.25">
      <c r="A16" s="106" t="s">
        <v>32</v>
      </c>
      <c r="B16" s="105" t="s">
        <v>33</v>
      </c>
      <c r="C16" s="106" t="s">
        <v>601</v>
      </c>
      <c r="D16" s="106" t="s">
        <v>759</v>
      </c>
      <c r="E16" s="106" t="s">
        <v>34</v>
      </c>
      <c r="F16" s="106" t="s">
        <v>35</v>
      </c>
      <c r="G16" s="106" t="s">
        <v>36</v>
      </c>
      <c r="H16" s="106" t="s">
        <v>37</v>
      </c>
      <c r="I16" s="106" t="s">
        <v>38</v>
      </c>
      <c r="J16" s="106" t="s">
        <v>39</v>
      </c>
      <c r="K16" s="106" t="s">
        <v>40</v>
      </c>
      <c r="L16" s="106" t="s">
        <v>41</v>
      </c>
      <c r="M16" s="106" t="s">
        <v>42</v>
      </c>
      <c r="N16" s="106" t="s">
        <v>43</v>
      </c>
      <c r="O16" s="106" t="s">
        <v>44</v>
      </c>
      <c r="P16" s="106" t="s">
        <v>46</v>
      </c>
      <c r="Q16" s="106" t="s">
        <v>45</v>
      </c>
      <c r="R16" s="106" t="s">
        <v>47</v>
      </c>
      <c r="S16" s="106" t="s">
        <v>48</v>
      </c>
      <c r="T16" s="106" t="s">
        <v>49</v>
      </c>
      <c r="U16" s="107" t="s">
        <v>50</v>
      </c>
      <c r="V16" s="106" t="s">
        <v>51</v>
      </c>
      <c r="W16" s="106" t="s">
        <v>52</v>
      </c>
      <c r="X16" s="106" t="s">
        <v>53</v>
      </c>
      <c r="Y16" s="106" t="s">
        <v>54</v>
      </c>
      <c r="Z16" s="117" t="s">
        <v>871</v>
      </c>
      <c r="AA16" s="117" t="s">
        <v>1017</v>
      </c>
    </row>
    <row r="17" spans="1:25" ht="15.75" hidden="1" customHeight="1" x14ac:dyDescent="0.25">
      <c r="A17" s="9">
        <f t="shared" ref="A17:A48" si="0">+ROW()-13</f>
        <v>4</v>
      </c>
      <c r="B17" s="9" t="s">
        <v>56</v>
      </c>
      <c r="C17" s="56" t="s">
        <v>57</v>
      </c>
      <c r="D17" s="56"/>
      <c r="E17" s="29">
        <v>45694</v>
      </c>
      <c r="F17" s="123">
        <v>45698</v>
      </c>
      <c r="G17" s="61">
        <f ca="1">HOY-Control[[#This Row],[Fecha Inicial]]</f>
        <v>217</v>
      </c>
      <c r="H17" s="29" t="s">
        <v>58</v>
      </c>
      <c r="I17" s="124">
        <v>0</v>
      </c>
      <c r="J17" s="124"/>
      <c r="K17" s="123">
        <v>45698</v>
      </c>
      <c r="L17" s="123" t="s">
        <v>58</v>
      </c>
      <c r="M17" s="2"/>
      <c r="N17" s="29" t="s">
        <v>17</v>
      </c>
      <c r="O17" s="2" t="s">
        <v>60</v>
      </c>
      <c r="P17" s="29" t="s">
        <v>736</v>
      </c>
      <c r="Q17" s="40" t="s">
        <v>21</v>
      </c>
      <c r="R17" s="123" t="s">
        <v>62</v>
      </c>
      <c r="S17" s="29" t="s">
        <v>18</v>
      </c>
      <c r="T17" s="40" t="s">
        <v>63</v>
      </c>
      <c r="U17" s="2" t="s">
        <v>64</v>
      </c>
      <c r="V17" s="276">
        <v>0</v>
      </c>
      <c r="W17" s="2" t="str">
        <f>_xlfn.XLOOKUP(Control[[#This Row],[No.Remedy]],Tabla2[ID de la incidencia*+],Tabla2[Usuario asignado+],"No encontrado",0)</f>
        <v>No encontrado</v>
      </c>
      <c r="X17" t="str">
        <f>_xlfn.XLOOKUP(Control[[#This Row],[No.Remedy]],Tabla2[ID de la incidencia*+],Tabla2[Estado*],"No encontrado",0)</f>
        <v>No encontrado</v>
      </c>
      <c r="Y17" s="110"/>
    </row>
    <row r="18" spans="1:25" ht="15.75" hidden="1" customHeight="1" x14ac:dyDescent="0.25">
      <c r="A18" s="9">
        <f t="shared" si="0"/>
        <v>5</v>
      </c>
      <c r="B18" s="9" t="s">
        <v>73</v>
      </c>
      <c r="C18" s="56" t="s">
        <v>74</v>
      </c>
      <c r="D18" s="56"/>
      <c r="E18" s="29">
        <v>45743</v>
      </c>
      <c r="F18" s="123">
        <v>45743</v>
      </c>
      <c r="G18" s="61">
        <f ca="1">HOY-Control[[#This Row],[Fecha Inicial]]</f>
        <v>168</v>
      </c>
      <c r="H18" s="29" t="s">
        <v>58</v>
      </c>
      <c r="I18" s="124">
        <v>0</v>
      </c>
      <c r="J18" s="124"/>
      <c r="K18" s="123">
        <v>45743</v>
      </c>
      <c r="L18" s="123" t="s">
        <v>58</v>
      </c>
      <c r="M18" s="2"/>
      <c r="N18" s="29" t="s">
        <v>75</v>
      </c>
      <c r="O18" s="2" t="s">
        <v>76</v>
      </c>
      <c r="P18" s="29" t="s">
        <v>736</v>
      </c>
      <c r="Q18" s="40" t="s">
        <v>21</v>
      </c>
      <c r="R18" s="123" t="s">
        <v>62</v>
      </c>
      <c r="S18" s="29" t="s">
        <v>18</v>
      </c>
      <c r="T18" s="40" t="s">
        <v>70</v>
      </c>
      <c r="U18" s="2" t="s">
        <v>77</v>
      </c>
      <c r="V18" s="276">
        <v>0</v>
      </c>
      <c r="W18" s="2" t="str">
        <f>_xlfn.XLOOKUP(Control[[#This Row],[No.Remedy]],Tabla2[ID de la incidencia*+],Tabla2[Usuario asignado+],"No encontrado",0)</f>
        <v>No encontrado</v>
      </c>
      <c r="X18" t="str">
        <f>_xlfn.XLOOKUP(Control[[#This Row],[No.Remedy]],Tabla2[ID de la incidencia*+],Tabla2[Estado*],"No encontrado",0)</f>
        <v>No encontrado</v>
      </c>
      <c r="Y18" s="110"/>
    </row>
    <row r="19" spans="1:25" ht="15.75" hidden="1" customHeight="1" x14ac:dyDescent="0.25">
      <c r="A19" s="9">
        <f t="shared" si="0"/>
        <v>6</v>
      </c>
      <c r="B19" s="9" t="s">
        <v>78</v>
      </c>
      <c r="C19" s="56" t="s">
        <v>79</v>
      </c>
      <c r="D19" s="56"/>
      <c r="E19" s="29">
        <v>45700</v>
      </c>
      <c r="F19" s="123">
        <v>45708</v>
      </c>
      <c r="G19" s="61">
        <f ca="1">HOY-Control[[#This Row],[Fecha Inicial]]</f>
        <v>211</v>
      </c>
      <c r="H19" s="29" t="s">
        <v>58</v>
      </c>
      <c r="I19" s="124">
        <v>0</v>
      </c>
      <c r="J19" s="124"/>
      <c r="K19" s="123">
        <v>45708</v>
      </c>
      <c r="L19" s="123" t="s">
        <v>58</v>
      </c>
      <c r="M19" s="2"/>
      <c r="N19" s="29" t="s">
        <v>75</v>
      </c>
      <c r="O19" s="2" t="s">
        <v>80</v>
      </c>
      <c r="P19" s="29" t="s">
        <v>736</v>
      </c>
      <c r="Q19" s="40" t="s">
        <v>21</v>
      </c>
      <c r="R19" s="123" t="s">
        <v>62</v>
      </c>
      <c r="S19" s="29" t="s">
        <v>18</v>
      </c>
      <c r="T19" s="40" t="s">
        <v>81</v>
      </c>
      <c r="U19" s="2" t="s">
        <v>77</v>
      </c>
      <c r="V19" s="276">
        <v>0</v>
      </c>
      <c r="W19" s="2" t="str">
        <f>_xlfn.XLOOKUP(Control[[#This Row],[No.Remedy]],Tabla2[ID de la incidencia*+],Tabla2[Usuario asignado+],"No encontrado",0)</f>
        <v>No encontrado</v>
      </c>
      <c r="X19" t="str">
        <f>_xlfn.XLOOKUP(Control[[#This Row],[No.Remedy]],Tabla2[ID de la incidencia*+],Tabla2[Estado*],"No encontrado",0)</f>
        <v>No encontrado</v>
      </c>
      <c r="Y19" s="110"/>
    </row>
    <row r="20" spans="1:25" ht="15.75" hidden="1" customHeight="1" x14ac:dyDescent="0.25">
      <c r="A20" s="9">
        <f t="shared" si="0"/>
        <v>7</v>
      </c>
      <c r="B20" s="9" t="s">
        <v>125</v>
      </c>
      <c r="C20" s="56" t="s">
        <v>126</v>
      </c>
      <c r="D20" s="56"/>
      <c r="E20" s="29">
        <v>45734</v>
      </c>
      <c r="F20" s="123"/>
      <c r="G20" s="61">
        <f ca="1">HOY-Control[[#This Row],[Fecha Inicial]]</f>
        <v>177</v>
      </c>
      <c r="H20" s="29"/>
      <c r="I20" s="124"/>
      <c r="J20" s="124"/>
      <c r="K20" s="123">
        <v>45758</v>
      </c>
      <c r="L20" s="123"/>
      <c r="M20" s="9"/>
      <c r="N20" s="29" t="s">
        <v>17</v>
      </c>
      <c r="O20" s="59" t="s">
        <v>127</v>
      </c>
      <c r="P20" s="29" t="s">
        <v>736</v>
      </c>
      <c r="Q20" s="40" t="s">
        <v>21</v>
      </c>
      <c r="R20" s="123" t="s">
        <v>128</v>
      </c>
      <c r="S20" s="29" t="s">
        <v>20</v>
      </c>
      <c r="T20" s="40" t="s">
        <v>129</v>
      </c>
      <c r="U20" s="2" t="s">
        <v>130</v>
      </c>
      <c r="V20" s="276" t="s">
        <v>131</v>
      </c>
      <c r="W20" s="2" t="str">
        <f>_xlfn.XLOOKUP(Control[[#This Row],[No.Remedy]],Tabla2[ID de la incidencia*+],Tabla2[Usuario asignado+],"No encontrado",0)</f>
        <v>No encontrado</v>
      </c>
      <c r="X20" t="str">
        <f>_xlfn.XLOOKUP(Control[[#This Row],[No.Remedy]],Tabla2[ID de la incidencia*+],Tabla2[Estado*],"No encontrado",0)</f>
        <v>No encontrado</v>
      </c>
      <c r="Y20" s="110"/>
    </row>
    <row r="21" spans="1:25" ht="15.75" hidden="1" customHeight="1" x14ac:dyDescent="0.25">
      <c r="A21" s="9">
        <f t="shared" si="0"/>
        <v>8</v>
      </c>
      <c r="B21" s="9" t="s">
        <v>141</v>
      </c>
      <c r="C21" s="56" t="s">
        <v>123</v>
      </c>
      <c r="D21" s="56"/>
      <c r="E21" s="29">
        <v>45476</v>
      </c>
      <c r="F21" s="123"/>
      <c r="G21" s="61">
        <f ca="1">HOY-Control[[#This Row],[Fecha Inicial]]</f>
        <v>435</v>
      </c>
      <c r="H21" s="9" t="s">
        <v>70</v>
      </c>
      <c r="I21" s="124"/>
      <c r="J21" s="124"/>
      <c r="K21" s="123"/>
      <c r="L21" s="123"/>
      <c r="M21" s="2"/>
      <c r="N21" s="29" t="s">
        <v>17</v>
      </c>
      <c r="O21" s="2" t="s">
        <v>142</v>
      </c>
      <c r="P21" s="29" t="s">
        <v>736</v>
      </c>
      <c r="Q21" s="40" t="s">
        <v>21</v>
      </c>
      <c r="R21" s="123" t="s">
        <v>62</v>
      </c>
      <c r="S21" s="29" t="s">
        <v>20</v>
      </c>
      <c r="T21" s="40" t="s">
        <v>70</v>
      </c>
      <c r="U21" s="2" t="s">
        <v>143</v>
      </c>
      <c r="V21" s="276">
        <v>0</v>
      </c>
      <c r="W21" s="2" t="str">
        <f>_xlfn.XLOOKUP(Control[[#This Row],[No.Remedy]],Tabla2[ID de la incidencia*+],Tabla2[Usuario asignado+],"No encontrado",0)</f>
        <v>No encontrado</v>
      </c>
      <c r="X21" t="str">
        <f>_xlfn.XLOOKUP(Control[[#This Row],[No.Remedy]],Tabla2[ID de la incidencia*+],Tabla2[Estado*],"No encontrado",0)</f>
        <v>No encontrado</v>
      </c>
      <c r="Y21" s="110"/>
    </row>
    <row r="22" spans="1:25" ht="15.75" hidden="1" customHeight="1" x14ac:dyDescent="0.25">
      <c r="A22" s="9">
        <f t="shared" si="0"/>
        <v>9</v>
      </c>
      <c r="B22" s="9" t="s">
        <v>144</v>
      </c>
      <c r="C22" s="56" t="s">
        <v>145</v>
      </c>
      <c r="D22" s="56"/>
      <c r="E22" s="29">
        <v>45689</v>
      </c>
      <c r="F22" s="123">
        <v>45712</v>
      </c>
      <c r="G22" s="61">
        <f ca="1">HOY-Control[[#This Row],[Fecha Inicial]]</f>
        <v>222</v>
      </c>
      <c r="H22" s="29" t="s">
        <v>58</v>
      </c>
      <c r="I22" s="124">
        <v>0</v>
      </c>
      <c r="J22" s="124"/>
      <c r="K22" s="123">
        <v>45712</v>
      </c>
      <c r="L22" s="123" t="s">
        <v>58</v>
      </c>
      <c r="M22" s="2">
        <v>0</v>
      </c>
      <c r="N22" s="29" t="s">
        <v>17</v>
      </c>
      <c r="O22" s="2" t="s">
        <v>84</v>
      </c>
      <c r="P22" s="29" t="s">
        <v>736</v>
      </c>
      <c r="Q22" s="40" t="s">
        <v>21</v>
      </c>
      <c r="R22" s="123" t="s">
        <v>62</v>
      </c>
      <c r="S22" s="29" t="s">
        <v>20</v>
      </c>
      <c r="T22" s="40" t="s">
        <v>146</v>
      </c>
      <c r="U22" s="2" t="s">
        <v>147</v>
      </c>
      <c r="V22" s="276">
        <v>0</v>
      </c>
      <c r="W22" s="2" t="str">
        <f>_xlfn.XLOOKUP(Control[[#This Row],[No.Remedy]],Tabla2[ID de la incidencia*+],Tabla2[Usuario asignado+],"No encontrado",0)</f>
        <v>No encontrado</v>
      </c>
      <c r="X22" t="str">
        <f>_xlfn.XLOOKUP(Control[[#This Row],[No.Remedy]],Tabla2[ID de la incidencia*+],Tabla2[Estado*],"No encontrado",0)</f>
        <v>No encontrado</v>
      </c>
      <c r="Y22" s="110"/>
    </row>
    <row r="23" spans="1:25" ht="15.75" hidden="1" customHeight="1" x14ac:dyDescent="0.25">
      <c r="A23" s="9">
        <f t="shared" si="0"/>
        <v>10</v>
      </c>
      <c r="B23" s="9" t="s">
        <v>148</v>
      </c>
      <c r="C23" s="56" t="s">
        <v>149</v>
      </c>
      <c r="D23" s="56"/>
      <c r="E23" s="29">
        <v>45734</v>
      </c>
      <c r="F23" s="123"/>
      <c r="G23" s="61">
        <f ca="1">HOY-Control[[#This Row],[Fecha Inicial]]</f>
        <v>177</v>
      </c>
      <c r="H23" s="9" t="s">
        <v>62</v>
      </c>
      <c r="I23" s="124" t="s">
        <v>62</v>
      </c>
      <c r="J23" s="124"/>
      <c r="K23" s="123" t="s">
        <v>62</v>
      </c>
      <c r="L23" s="123"/>
      <c r="M23" s="2"/>
      <c r="N23" s="29" t="s">
        <v>17</v>
      </c>
      <c r="O23" s="2" t="s">
        <v>150</v>
      </c>
      <c r="P23" s="29" t="s">
        <v>736</v>
      </c>
      <c r="Q23" s="40" t="s">
        <v>21</v>
      </c>
      <c r="R23" s="123" t="s">
        <v>128</v>
      </c>
      <c r="S23" s="29" t="s">
        <v>20</v>
      </c>
      <c r="T23" s="40" t="s">
        <v>129</v>
      </c>
      <c r="U23" s="2">
        <v>0</v>
      </c>
      <c r="V23" s="276">
        <v>0</v>
      </c>
      <c r="W23" s="2" t="str">
        <f>_xlfn.XLOOKUP(Control[[#This Row],[No.Remedy]],Tabla2[ID de la incidencia*+],Tabla2[Usuario asignado+],"No encontrado",0)</f>
        <v>No encontrado</v>
      </c>
      <c r="X23" t="str">
        <f>_xlfn.XLOOKUP(Control[[#This Row],[No.Remedy]],Tabla2[ID de la incidencia*+],Tabla2[Estado*],"No encontrado",0)</f>
        <v>No encontrado</v>
      </c>
      <c r="Y23" s="110"/>
    </row>
    <row r="24" spans="1:25" ht="15.75" hidden="1" customHeight="1" x14ac:dyDescent="0.25">
      <c r="A24" s="9">
        <f t="shared" si="0"/>
        <v>11</v>
      </c>
      <c r="B24" s="9" t="s">
        <v>151</v>
      </c>
      <c r="C24" s="56" t="s">
        <v>152</v>
      </c>
      <c r="D24" s="56"/>
      <c r="E24" s="29">
        <v>45734</v>
      </c>
      <c r="F24" s="123"/>
      <c r="G24" s="61">
        <f ca="1">HOY-Control[[#This Row],[Fecha Inicial]]</f>
        <v>177</v>
      </c>
      <c r="H24" s="9" t="s">
        <v>62</v>
      </c>
      <c r="I24" s="124" t="s">
        <v>62</v>
      </c>
      <c r="J24" s="124"/>
      <c r="K24" s="123" t="s">
        <v>62</v>
      </c>
      <c r="L24" s="123"/>
      <c r="M24" s="2"/>
      <c r="N24" s="29" t="s">
        <v>17</v>
      </c>
      <c r="O24" s="277" t="s">
        <v>153</v>
      </c>
      <c r="P24" s="29" t="s">
        <v>736</v>
      </c>
      <c r="Q24" s="40" t="s">
        <v>21</v>
      </c>
      <c r="R24" s="123" t="s">
        <v>128</v>
      </c>
      <c r="S24" s="29" t="s">
        <v>20</v>
      </c>
      <c r="T24" s="40" t="s">
        <v>129</v>
      </c>
      <c r="U24" s="2" t="s">
        <v>77</v>
      </c>
      <c r="V24" s="276">
        <v>0</v>
      </c>
      <c r="W24" s="2" t="str">
        <f>_xlfn.XLOOKUP(Control[[#This Row],[No.Remedy]],Tabla2[ID de la incidencia*+],Tabla2[Usuario asignado+],"No encontrado",0)</f>
        <v>No encontrado</v>
      </c>
      <c r="X24" t="str">
        <f>_xlfn.XLOOKUP(Control[[#This Row],[No.Remedy]],Tabla2[ID de la incidencia*+],Tabla2[Estado*],"No encontrado",0)</f>
        <v>No encontrado</v>
      </c>
      <c r="Y24" s="110"/>
    </row>
    <row r="25" spans="1:25" ht="15.75" hidden="1" customHeight="1" x14ac:dyDescent="0.25">
      <c r="A25" s="9">
        <f t="shared" si="0"/>
        <v>12</v>
      </c>
      <c r="B25" s="9" t="s">
        <v>154</v>
      </c>
      <c r="C25" s="56" t="s">
        <v>155</v>
      </c>
      <c r="D25" s="56"/>
      <c r="E25" s="29">
        <v>45678</v>
      </c>
      <c r="F25" s="123"/>
      <c r="G25" s="61">
        <f ca="1">HOY-Control[[#This Row],[Fecha Inicial]]</f>
        <v>233</v>
      </c>
      <c r="H25" s="9">
        <v>0</v>
      </c>
      <c r="I25" s="124">
        <v>0</v>
      </c>
      <c r="J25" s="124"/>
      <c r="K25" s="123"/>
      <c r="L25" s="123"/>
      <c r="M25" s="2"/>
      <c r="N25" s="29" t="s">
        <v>17</v>
      </c>
      <c r="O25" s="2" t="s">
        <v>156</v>
      </c>
      <c r="P25" s="29" t="s">
        <v>736</v>
      </c>
      <c r="Q25" s="40" t="s">
        <v>21</v>
      </c>
      <c r="R25" s="123" t="s">
        <v>62</v>
      </c>
      <c r="S25" s="29" t="s">
        <v>20</v>
      </c>
      <c r="T25" s="40" t="s">
        <v>96</v>
      </c>
      <c r="U25" s="2" t="s">
        <v>157</v>
      </c>
      <c r="V25" s="276">
        <v>0</v>
      </c>
      <c r="W25" s="2" t="str">
        <f>_xlfn.XLOOKUP(Control[[#This Row],[No.Remedy]],Tabla2[ID de la incidencia*+],Tabla2[Usuario asignado+],"No encontrado",0)</f>
        <v>No encontrado</v>
      </c>
      <c r="X25" t="str">
        <f>_xlfn.XLOOKUP(Control[[#This Row],[No.Remedy]],Tabla2[ID de la incidencia*+],Tabla2[Estado*],"No encontrado",0)</f>
        <v>No encontrado</v>
      </c>
      <c r="Y25" s="110"/>
    </row>
    <row r="26" spans="1:25" ht="15.75" hidden="1" customHeight="1" x14ac:dyDescent="0.25">
      <c r="A26" s="9">
        <f t="shared" si="0"/>
        <v>13</v>
      </c>
      <c r="B26" s="9" t="s">
        <v>179</v>
      </c>
      <c r="C26" s="56" t="s">
        <v>180</v>
      </c>
      <c r="D26" s="56"/>
      <c r="E26" s="29">
        <v>45678</v>
      </c>
      <c r="F26" s="123"/>
      <c r="G26" s="61">
        <f ca="1">HOY-Control[[#This Row],[Fecha Inicial]]</f>
        <v>233</v>
      </c>
      <c r="H26" s="9">
        <v>0</v>
      </c>
      <c r="I26" s="124">
        <v>0</v>
      </c>
      <c r="J26" s="124"/>
      <c r="K26" s="123"/>
      <c r="L26" s="123"/>
      <c r="M26" s="2"/>
      <c r="N26" s="29" t="s">
        <v>17</v>
      </c>
      <c r="O26" s="278" t="s">
        <v>181</v>
      </c>
      <c r="P26" s="29" t="s">
        <v>736</v>
      </c>
      <c r="Q26" s="40" t="s">
        <v>21</v>
      </c>
      <c r="R26" s="123" t="s">
        <v>182</v>
      </c>
      <c r="S26" s="29" t="s">
        <v>20</v>
      </c>
      <c r="T26" s="40" t="s">
        <v>183</v>
      </c>
      <c r="U26" s="2" t="s">
        <v>184</v>
      </c>
      <c r="V26" s="276">
        <v>0</v>
      </c>
      <c r="W26" s="2" t="str">
        <f>_xlfn.XLOOKUP(Control[[#This Row],[No.Remedy]],Tabla2[ID de la incidencia*+],Tabla2[Usuario asignado+],"No encontrado",0)</f>
        <v>No encontrado</v>
      </c>
      <c r="X26" t="str">
        <f>_xlfn.XLOOKUP(Control[[#This Row],[No.Remedy]],Tabla2[ID de la incidencia*+],Tabla2[Estado*],"No encontrado",0)</f>
        <v>No encontrado</v>
      </c>
      <c r="Y26" s="110"/>
    </row>
    <row r="27" spans="1:25" ht="15.75" hidden="1" customHeight="1" x14ac:dyDescent="0.25">
      <c r="A27" s="9">
        <f t="shared" si="0"/>
        <v>14</v>
      </c>
      <c r="B27" s="9" t="s">
        <v>185</v>
      </c>
      <c r="C27" s="56" t="s">
        <v>186</v>
      </c>
      <c r="D27" s="56"/>
      <c r="E27" s="29">
        <v>45639.632002314815</v>
      </c>
      <c r="F27" s="123"/>
      <c r="G27" s="61">
        <f ca="1">HOY-Control[[#This Row],[Fecha Inicial]]</f>
        <v>271.3679976851854</v>
      </c>
      <c r="H27" s="9" t="s">
        <v>187</v>
      </c>
      <c r="I27" s="124">
        <v>0</v>
      </c>
      <c r="J27" s="124"/>
      <c r="K27" s="123"/>
      <c r="L27" s="123"/>
      <c r="M27" s="2"/>
      <c r="N27" s="29" t="s">
        <v>17</v>
      </c>
      <c r="O27" s="2" t="s">
        <v>188</v>
      </c>
      <c r="P27" s="29" t="s">
        <v>736</v>
      </c>
      <c r="Q27" s="40" t="s">
        <v>21</v>
      </c>
      <c r="R27" s="123" t="s">
        <v>62</v>
      </c>
      <c r="S27" s="29" t="s">
        <v>20</v>
      </c>
      <c r="T27" s="40" t="s">
        <v>173</v>
      </c>
      <c r="U27" s="2" t="s">
        <v>189</v>
      </c>
      <c r="V27" s="276">
        <v>0</v>
      </c>
      <c r="W27" s="2" t="str">
        <f>_xlfn.XLOOKUP(Control[[#This Row],[No.Remedy]],Tabla2[ID de la incidencia*+],Tabla2[Usuario asignado+],"No encontrado",0)</f>
        <v>No encontrado</v>
      </c>
      <c r="X27" t="str">
        <f>_xlfn.XLOOKUP(Control[[#This Row],[No.Remedy]],Tabla2[ID de la incidencia*+],Tabla2[Estado*],"No encontrado",0)</f>
        <v>No encontrado</v>
      </c>
      <c r="Y27" s="110"/>
    </row>
    <row r="28" spans="1:25" ht="15.75" hidden="1" customHeight="1" x14ac:dyDescent="0.25">
      <c r="A28" s="9">
        <f t="shared" si="0"/>
        <v>15</v>
      </c>
      <c r="B28" s="9" t="s">
        <v>198</v>
      </c>
      <c r="C28" s="56" t="s">
        <v>199</v>
      </c>
      <c r="D28" s="56"/>
      <c r="E28" s="29">
        <v>45730</v>
      </c>
      <c r="F28" s="123">
        <v>45754</v>
      </c>
      <c r="G28" s="61">
        <f ca="1">HOY-Control[[#This Row],[Fecha Inicial]]</f>
        <v>181</v>
      </c>
      <c r="H28" s="9" t="s">
        <v>58</v>
      </c>
      <c r="I28" s="124">
        <v>0</v>
      </c>
      <c r="J28" s="124"/>
      <c r="K28" s="123" t="s">
        <v>62</v>
      </c>
      <c r="L28" s="123"/>
      <c r="M28" s="2"/>
      <c r="N28" s="29" t="s">
        <v>75</v>
      </c>
      <c r="O28" s="2" t="s">
        <v>200</v>
      </c>
      <c r="P28" s="29" t="s">
        <v>736</v>
      </c>
      <c r="Q28" s="40" t="s">
        <v>21</v>
      </c>
      <c r="R28" s="123" t="s">
        <v>62</v>
      </c>
      <c r="S28" s="29" t="s">
        <v>18</v>
      </c>
      <c r="T28" s="40" t="s">
        <v>81</v>
      </c>
      <c r="U28" s="2">
        <v>0</v>
      </c>
      <c r="V28" s="276">
        <v>0</v>
      </c>
      <c r="W28" s="2" t="str">
        <f>_xlfn.XLOOKUP(Control[[#This Row],[No.Remedy]],Tabla2[ID de la incidencia*+],Tabla2[Usuario asignado+],"No encontrado",0)</f>
        <v>No encontrado</v>
      </c>
      <c r="X28" t="str">
        <f>_xlfn.XLOOKUP(Control[[#This Row],[No.Remedy]],Tabla2[ID de la incidencia*+],Tabla2[Estado*],"No encontrado",0)</f>
        <v>No encontrado</v>
      </c>
      <c r="Y28" s="110"/>
    </row>
    <row r="29" spans="1:25" ht="15.75" hidden="1" customHeight="1" x14ac:dyDescent="0.25">
      <c r="A29" s="9">
        <f t="shared" si="0"/>
        <v>16</v>
      </c>
      <c r="B29" s="9" t="s">
        <v>211</v>
      </c>
      <c r="C29" s="56" t="s">
        <v>212</v>
      </c>
      <c r="D29" s="56"/>
      <c r="E29" s="29">
        <v>45670</v>
      </c>
      <c r="F29" s="123">
        <v>45826</v>
      </c>
      <c r="G29" s="61">
        <f ca="1">HOY-Control[[#This Row],[Fecha Inicial]]</f>
        <v>241</v>
      </c>
      <c r="H29" s="9">
        <v>0</v>
      </c>
      <c r="I29" s="124">
        <v>0</v>
      </c>
      <c r="J29" s="124"/>
      <c r="K29" s="123"/>
      <c r="L29" s="123" t="s">
        <v>58</v>
      </c>
      <c r="M29" s="2">
        <v>0</v>
      </c>
      <c r="N29" s="29" t="s">
        <v>17</v>
      </c>
      <c r="O29" s="278" t="s">
        <v>213</v>
      </c>
      <c r="P29" s="29" t="s">
        <v>736</v>
      </c>
      <c r="Q29" s="40" t="s">
        <v>21</v>
      </c>
      <c r="R29" s="123" t="s">
        <v>95</v>
      </c>
      <c r="S29" s="29" t="s">
        <v>18</v>
      </c>
      <c r="T29" s="40" t="s">
        <v>96</v>
      </c>
      <c r="U29" s="2" t="s">
        <v>77</v>
      </c>
      <c r="V29" s="125" t="s">
        <v>214</v>
      </c>
      <c r="W29" s="2" t="str">
        <f>_xlfn.XLOOKUP(Control[[#This Row],[No.Remedy]],Tabla2[ID de la incidencia*+],Tabla2[Usuario asignado+],"No encontrado",0)</f>
        <v>No encontrado</v>
      </c>
      <c r="X29" t="str">
        <f>_xlfn.XLOOKUP(Control[[#This Row],[No.Remedy]],Tabla2[ID de la incidencia*+],Tabla2[Estado*],"No encontrado",0)</f>
        <v>No encontrado</v>
      </c>
      <c r="Y29" s="110"/>
    </row>
    <row r="30" spans="1:25" ht="15.75" hidden="1" customHeight="1" x14ac:dyDescent="0.25">
      <c r="A30" s="9">
        <f t="shared" si="0"/>
        <v>17</v>
      </c>
      <c r="B30" s="9" t="s">
        <v>618</v>
      </c>
      <c r="C30" s="56" t="s">
        <v>620</v>
      </c>
      <c r="D30" s="56" t="s">
        <v>853</v>
      </c>
      <c r="E30" s="29">
        <v>45723</v>
      </c>
      <c r="F30" s="123"/>
      <c r="G30" s="61">
        <f ca="1">HOY-Control[[#This Row],[Fecha Inicial]]</f>
        <v>188</v>
      </c>
      <c r="H30" s="29"/>
      <c r="I30" s="124"/>
      <c r="J30" s="124"/>
      <c r="K30" s="123"/>
      <c r="L30" s="123"/>
      <c r="M30" s="2"/>
      <c r="N30" s="29" t="s">
        <v>17</v>
      </c>
      <c r="O30" s="2" t="s">
        <v>857</v>
      </c>
      <c r="P30" s="29" t="s">
        <v>736</v>
      </c>
      <c r="Q30" s="40" t="s">
        <v>21</v>
      </c>
      <c r="R30" s="40" t="s">
        <v>621</v>
      </c>
      <c r="S30" s="29" t="s">
        <v>20</v>
      </c>
      <c r="T30" s="40" t="s">
        <v>146</v>
      </c>
      <c r="U30" s="9">
        <v>60984</v>
      </c>
      <c r="V30" s="126" t="s">
        <v>619</v>
      </c>
      <c r="W30" s="2" t="str">
        <f>_xlfn.XLOOKUP(Control[[#This Row],[No.Remedy]],Tabla2[ID de la incidencia*+],Tabla2[Usuario asignado+],"No encontrado",0)</f>
        <v>No encontrado</v>
      </c>
      <c r="X30" t="str">
        <f>_xlfn.XLOOKUP(Control[[#This Row],[No.Remedy]],Tabla2[ID de la incidencia*+],Tabla2[Estado*],"No encontrado",0)</f>
        <v>No encontrado</v>
      </c>
      <c r="Y30" s="110"/>
    </row>
    <row r="31" spans="1:25" ht="15.75" hidden="1" customHeight="1" x14ac:dyDescent="0.25">
      <c r="A31" s="9">
        <f t="shared" si="0"/>
        <v>18</v>
      </c>
      <c r="B31" s="9" t="s">
        <v>264</v>
      </c>
      <c r="C31" s="56" t="s">
        <v>265</v>
      </c>
      <c r="D31" s="56"/>
      <c r="E31" s="29">
        <v>45726</v>
      </c>
      <c r="F31" s="123"/>
      <c r="G31" s="61">
        <f ca="1">HOY-Control[[#This Row],[Fecha Inicial]]</f>
        <v>185</v>
      </c>
      <c r="H31" s="29"/>
      <c r="I31" s="124"/>
      <c r="J31" s="124"/>
      <c r="K31" s="123"/>
      <c r="L31" s="123"/>
      <c r="M31" s="2"/>
      <c r="N31" s="29" t="s">
        <v>17</v>
      </c>
      <c r="O31" s="277" t="s">
        <v>266</v>
      </c>
      <c r="P31" s="29" t="s">
        <v>736</v>
      </c>
      <c r="Q31" s="40" t="s">
        <v>21</v>
      </c>
      <c r="R31" s="123" t="s">
        <v>128</v>
      </c>
      <c r="S31" s="29" t="s">
        <v>20</v>
      </c>
      <c r="T31" s="40" t="s">
        <v>129</v>
      </c>
      <c r="U31" s="2">
        <v>0</v>
      </c>
      <c r="V31" s="276">
        <v>0</v>
      </c>
      <c r="W31" s="2" t="str">
        <f>_xlfn.XLOOKUP(Control[[#This Row],[No.Remedy]],Tabla2[ID de la incidencia*+],Tabla2[Usuario asignado+],"No encontrado",0)</f>
        <v>No encontrado</v>
      </c>
      <c r="X31" t="str">
        <f>_xlfn.XLOOKUP(Control[[#This Row],[No.Remedy]],Tabla2[ID de la incidencia*+],Tabla2[Estado*],"No encontrado",0)</f>
        <v>No encontrado</v>
      </c>
      <c r="Y31" s="110"/>
    </row>
    <row r="32" spans="1:25" ht="15.75" hidden="1" customHeight="1" x14ac:dyDescent="0.25">
      <c r="A32" s="9">
        <f t="shared" si="0"/>
        <v>19</v>
      </c>
      <c r="B32" s="9" t="s">
        <v>267</v>
      </c>
      <c r="C32" s="56" t="s">
        <v>268</v>
      </c>
      <c r="D32" s="56"/>
      <c r="E32" s="29">
        <v>45730</v>
      </c>
      <c r="F32" s="123"/>
      <c r="G32" s="61">
        <f ca="1">HOY-Control[[#This Row],[Fecha Inicial]]</f>
        <v>181</v>
      </c>
      <c r="H32" s="29" t="s">
        <v>227</v>
      </c>
      <c r="I32" s="124">
        <v>0</v>
      </c>
      <c r="J32" s="124"/>
      <c r="K32" s="123"/>
      <c r="L32" s="123" t="s">
        <v>58</v>
      </c>
      <c r="M32" s="2">
        <v>0</v>
      </c>
      <c r="N32" s="29" t="s">
        <v>17</v>
      </c>
      <c r="O32" s="2" t="s">
        <v>269</v>
      </c>
      <c r="P32" s="29" t="s">
        <v>736</v>
      </c>
      <c r="Q32" s="40" t="s">
        <v>21</v>
      </c>
      <c r="R32" s="123" t="s">
        <v>128</v>
      </c>
      <c r="S32" s="29" t="s">
        <v>20</v>
      </c>
      <c r="T32" s="40" t="s">
        <v>129</v>
      </c>
      <c r="U32" s="2" t="s">
        <v>77</v>
      </c>
      <c r="V32" s="276">
        <v>0</v>
      </c>
      <c r="W32" s="2" t="str">
        <f>_xlfn.XLOOKUP(Control[[#This Row],[No.Remedy]],Tabla2[ID de la incidencia*+],Tabla2[Usuario asignado+],"No encontrado",0)</f>
        <v>No encontrado</v>
      </c>
      <c r="X32" t="str">
        <f>_xlfn.XLOOKUP(Control[[#This Row],[No.Remedy]],Tabla2[ID de la incidencia*+],Tabla2[Estado*],"No encontrado",0)</f>
        <v>No encontrado</v>
      </c>
      <c r="Y32" s="110"/>
    </row>
    <row r="33" spans="1:25" ht="15.75" hidden="1" customHeight="1" x14ac:dyDescent="0.25">
      <c r="A33" s="9">
        <f t="shared" si="0"/>
        <v>20</v>
      </c>
      <c r="B33" s="9" t="s">
        <v>273</v>
      </c>
      <c r="C33" s="56" t="s">
        <v>274</v>
      </c>
      <c r="D33" s="56"/>
      <c r="E33" s="29">
        <v>45736</v>
      </c>
      <c r="F33" s="123">
        <v>45757</v>
      </c>
      <c r="G33" s="61">
        <f ca="1">HOY-Control[[#This Row],[Fecha Inicial]]</f>
        <v>175</v>
      </c>
      <c r="H33" s="29" t="s">
        <v>58</v>
      </c>
      <c r="I33" s="124">
        <v>0</v>
      </c>
      <c r="J33" s="124"/>
      <c r="K33" s="123">
        <v>45757</v>
      </c>
      <c r="L33" s="123" t="s">
        <v>58</v>
      </c>
      <c r="M33" s="2">
        <v>0</v>
      </c>
      <c r="N33" s="29" t="s">
        <v>75</v>
      </c>
      <c r="O33" s="2" t="s">
        <v>275</v>
      </c>
      <c r="P33" s="29" t="s">
        <v>736</v>
      </c>
      <c r="Q33" s="40" t="s">
        <v>21</v>
      </c>
      <c r="R33" s="123" t="s">
        <v>276</v>
      </c>
      <c r="S33" s="29" t="s">
        <v>18</v>
      </c>
      <c r="T33" s="40" t="s">
        <v>63</v>
      </c>
      <c r="U33" s="2" t="s">
        <v>77</v>
      </c>
      <c r="V33" s="276">
        <v>0</v>
      </c>
      <c r="W33" s="2" t="str">
        <f>_xlfn.XLOOKUP(Control[[#This Row],[No.Remedy]],Tabla2[ID de la incidencia*+],Tabla2[Usuario asignado+],"No encontrado",0)</f>
        <v>No encontrado</v>
      </c>
      <c r="X33" t="str">
        <f>_xlfn.XLOOKUP(Control[[#This Row],[No.Remedy]],Tabla2[ID de la incidencia*+],Tabla2[Estado*],"No encontrado",0)</f>
        <v>No encontrado</v>
      </c>
      <c r="Y33" s="110"/>
    </row>
    <row r="34" spans="1:25" ht="15.75" hidden="1" customHeight="1" x14ac:dyDescent="0.25">
      <c r="A34" s="9">
        <f t="shared" si="0"/>
        <v>21</v>
      </c>
      <c r="B34" s="9" t="s">
        <v>277</v>
      </c>
      <c r="C34" s="56" t="s">
        <v>278</v>
      </c>
      <c r="D34" s="56"/>
      <c r="E34" s="29">
        <v>45741</v>
      </c>
      <c r="F34" s="123"/>
      <c r="G34" s="61">
        <f ca="1">HOY-Control[[#This Row],[Fecha Inicial]]</f>
        <v>170</v>
      </c>
      <c r="H34" s="29" t="s">
        <v>58</v>
      </c>
      <c r="I34" s="124">
        <v>0</v>
      </c>
      <c r="J34" s="124"/>
      <c r="K34" s="123"/>
      <c r="L34" s="123" t="s">
        <v>58</v>
      </c>
      <c r="M34" s="2">
        <v>0</v>
      </c>
      <c r="N34" s="29" t="s">
        <v>17</v>
      </c>
      <c r="O34" s="277" t="s">
        <v>279</v>
      </c>
      <c r="P34" s="29" t="s">
        <v>736</v>
      </c>
      <c r="Q34" s="40" t="s">
        <v>21</v>
      </c>
      <c r="R34" s="123" t="s">
        <v>128</v>
      </c>
      <c r="S34" s="29" t="s">
        <v>22</v>
      </c>
      <c r="T34" s="40" t="s">
        <v>129</v>
      </c>
      <c r="U34" s="2">
        <v>0</v>
      </c>
      <c r="V34" s="276">
        <v>0</v>
      </c>
      <c r="W34" s="2" t="str">
        <f>_xlfn.XLOOKUP(Control[[#This Row],[No.Remedy]],Tabla2[ID de la incidencia*+],Tabla2[Usuario asignado+],"No encontrado",0)</f>
        <v>No encontrado</v>
      </c>
      <c r="X34" t="str">
        <f>_xlfn.XLOOKUP(Control[[#This Row],[No.Remedy]],Tabla2[ID de la incidencia*+],Tabla2[Estado*],"No encontrado",0)</f>
        <v>No encontrado</v>
      </c>
      <c r="Y34" s="110"/>
    </row>
    <row r="35" spans="1:25" ht="15.75" hidden="1" customHeight="1" x14ac:dyDescent="0.25">
      <c r="A35" s="9">
        <f t="shared" si="0"/>
        <v>22</v>
      </c>
      <c r="B35" s="9" t="s">
        <v>286</v>
      </c>
      <c r="C35" s="56" t="s">
        <v>287</v>
      </c>
      <c r="D35" s="56"/>
      <c r="E35" s="29">
        <v>45750</v>
      </c>
      <c r="F35" s="123"/>
      <c r="G35" s="61">
        <f ca="1">HOY-Control[[#This Row],[Fecha Inicial]]</f>
        <v>161</v>
      </c>
      <c r="H35" s="29" t="s">
        <v>58</v>
      </c>
      <c r="I35" s="124">
        <v>0</v>
      </c>
      <c r="J35" s="124"/>
      <c r="K35" s="123"/>
      <c r="L35" s="123" t="s">
        <v>58</v>
      </c>
      <c r="M35" s="2">
        <v>0</v>
      </c>
      <c r="N35" s="29" t="s">
        <v>75</v>
      </c>
      <c r="O35" s="278" t="s">
        <v>288</v>
      </c>
      <c r="P35" s="29" t="s">
        <v>736</v>
      </c>
      <c r="Q35" s="40" t="s">
        <v>21</v>
      </c>
      <c r="R35" s="123" t="s">
        <v>289</v>
      </c>
      <c r="S35" s="29" t="s">
        <v>18</v>
      </c>
      <c r="T35" s="40" t="s">
        <v>81</v>
      </c>
      <c r="U35" s="2">
        <v>0</v>
      </c>
      <c r="V35" s="276">
        <v>0</v>
      </c>
      <c r="W35" s="2" t="str">
        <f>_xlfn.XLOOKUP(Control[[#This Row],[No.Remedy]],Tabla2[ID de la incidencia*+],Tabla2[Usuario asignado+],"No encontrado",0)</f>
        <v>No encontrado</v>
      </c>
      <c r="X35" t="str">
        <f>_xlfn.XLOOKUP(Control[[#This Row],[No.Remedy]],Tabla2[ID de la incidencia*+],Tabla2[Estado*],"No encontrado",0)</f>
        <v>No encontrado</v>
      </c>
      <c r="Y35" s="110"/>
    </row>
    <row r="36" spans="1:25" ht="15.75" hidden="1" customHeight="1" x14ac:dyDescent="0.25">
      <c r="A36" s="9">
        <f t="shared" si="0"/>
        <v>23</v>
      </c>
      <c r="B36" s="9" t="s">
        <v>290</v>
      </c>
      <c r="C36" s="56" t="s">
        <v>291</v>
      </c>
      <c r="D36" s="56"/>
      <c r="E36" s="29">
        <v>45754</v>
      </c>
      <c r="F36" s="123"/>
      <c r="G36" s="61">
        <f ca="1">HOY-Control[[#This Row],[Fecha Inicial]]</f>
        <v>157</v>
      </c>
      <c r="H36" s="29" t="s">
        <v>58</v>
      </c>
      <c r="I36" s="124">
        <v>0</v>
      </c>
      <c r="J36" s="124"/>
      <c r="K36" s="123"/>
      <c r="L36" s="123" t="s">
        <v>58</v>
      </c>
      <c r="M36" s="2">
        <v>0</v>
      </c>
      <c r="N36" s="29" t="s">
        <v>75</v>
      </c>
      <c r="O36" s="277" t="s">
        <v>292</v>
      </c>
      <c r="P36" s="29" t="s">
        <v>736</v>
      </c>
      <c r="Q36" s="40" t="s">
        <v>21</v>
      </c>
      <c r="R36" s="123" t="s">
        <v>293</v>
      </c>
      <c r="S36" s="29" t="s">
        <v>20</v>
      </c>
      <c r="T36" s="40" t="s">
        <v>115</v>
      </c>
      <c r="U36" s="2" t="s">
        <v>294</v>
      </c>
      <c r="V36" s="276">
        <v>0</v>
      </c>
      <c r="W36" s="2" t="str">
        <f>_xlfn.XLOOKUP(Control[[#This Row],[No.Remedy]],Tabla2[ID de la incidencia*+],Tabla2[Usuario asignado+],"No encontrado",0)</f>
        <v>No encontrado</v>
      </c>
      <c r="X36" t="str">
        <f>_xlfn.XLOOKUP(Control[[#This Row],[No.Remedy]],Tabla2[ID de la incidencia*+],Tabla2[Estado*],"No encontrado",0)</f>
        <v>No encontrado</v>
      </c>
      <c r="Y36" s="110"/>
    </row>
    <row r="37" spans="1:25" ht="15.75" hidden="1" customHeight="1" x14ac:dyDescent="0.25">
      <c r="A37" s="71">
        <f t="shared" si="0"/>
        <v>24</v>
      </c>
      <c r="B37" s="71" t="s">
        <v>338</v>
      </c>
      <c r="C37" s="73" t="s">
        <v>339</v>
      </c>
      <c r="D37" s="73"/>
      <c r="E37" s="29">
        <v>45772</v>
      </c>
      <c r="F37" s="279"/>
      <c r="G37" s="62">
        <f ca="1">HOY-Control[[#This Row],[Fecha Inicial]]</f>
        <v>139</v>
      </c>
      <c r="H37" s="35"/>
      <c r="I37" s="127"/>
      <c r="J37" s="127"/>
      <c r="K37" s="279"/>
      <c r="L37" s="279"/>
      <c r="M37" s="14"/>
      <c r="N37" s="35" t="s">
        <v>75</v>
      </c>
      <c r="O37" s="14" t="s">
        <v>340</v>
      </c>
      <c r="P37" s="29" t="s">
        <v>736</v>
      </c>
      <c r="Q37" s="72" t="s">
        <v>21</v>
      </c>
      <c r="R37" s="279" t="s">
        <v>341</v>
      </c>
      <c r="S37" s="35" t="s">
        <v>18</v>
      </c>
      <c r="T37" s="72" t="s">
        <v>342</v>
      </c>
      <c r="U37" s="14"/>
      <c r="V37" s="128" t="s">
        <v>343</v>
      </c>
      <c r="W37" s="14" t="str">
        <f>_xlfn.XLOOKUP(Control[[#This Row],[No.Remedy]],Tabla2[ID de la incidencia*+],Tabla2[Usuario asignado+],"No encontrado",0)</f>
        <v>No encontrado</v>
      </c>
      <c r="X37" t="str">
        <f>_xlfn.XLOOKUP(Control[[#This Row],[No.Remedy]],Tabla2[ID de la incidencia*+],Tabla2[Estado*],"No encontrado",0)</f>
        <v>No encontrado</v>
      </c>
      <c r="Y37" s="110"/>
    </row>
    <row r="38" spans="1:25" ht="15.75" hidden="1" customHeight="1" x14ac:dyDescent="0.25">
      <c r="A38" s="9">
        <f t="shared" si="0"/>
        <v>25</v>
      </c>
      <c r="B38" s="9" t="s">
        <v>345</v>
      </c>
      <c r="C38" s="56" t="s">
        <v>922</v>
      </c>
      <c r="D38" s="56"/>
      <c r="E38" s="29">
        <v>45775</v>
      </c>
      <c r="F38" s="123"/>
      <c r="G38" s="61">
        <f ca="1">HOY-Control[[#This Row],[Fecha Inicial]]</f>
        <v>136</v>
      </c>
      <c r="H38" s="29"/>
      <c r="I38" s="124"/>
      <c r="J38" s="124"/>
      <c r="K38" s="123"/>
      <c r="L38" s="123"/>
      <c r="M38" s="2"/>
      <c r="N38" s="29" t="s">
        <v>17</v>
      </c>
      <c r="O38" s="2"/>
      <c r="P38" s="29" t="s">
        <v>736</v>
      </c>
      <c r="Q38" s="40" t="s">
        <v>21</v>
      </c>
      <c r="R38" s="123" t="s">
        <v>346</v>
      </c>
      <c r="S38" s="29" t="s">
        <v>18</v>
      </c>
      <c r="T38" s="40"/>
      <c r="U38" s="2"/>
      <c r="V38" s="129" t="s">
        <v>347</v>
      </c>
      <c r="W38" s="2" t="str">
        <f>_xlfn.XLOOKUP(Control[[#This Row],[No.Remedy]],Tabla2[ID de la incidencia*+],Tabla2[Usuario asignado+],"No encontrado",0)</f>
        <v>No encontrado</v>
      </c>
      <c r="X38" t="str">
        <f>_xlfn.XLOOKUP(Control[[#This Row],[No.Remedy]],Tabla2[ID de la incidencia*+],Tabla2[Estado*],"No encontrado",0)</f>
        <v>No encontrado</v>
      </c>
      <c r="Y38" s="110"/>
    </row>
    <row r="39" spans="1:25" ht="15.75" hidden="1" customHeight="1" x14ac:dyDescent="0.25">
      <c r="A39" s="9">
        <f t="shared" si="0"/>
        <v>26</v>
      </c>
      <c r="B39" s="9" t="s">
        <v>348</v>
      </c>
      <c r="C39" s="56" t="s">
        <v>923</v>
      </c>
      <c r="D39" s="56"/>
      <c r="E39" s="29">
        <v>45785</v>
      </c>
      <c r="F39" s="123">
        <v>45847</v>
      </c>
      <c r="G39" s="61">
        <f ca="1">HOY-Control[[#This Row],[Fecha Inicial]]</f>
        <v>126</v>
      </c>
      <c r="H39" s="29"/>
      <c r="I39" s="124"/>
      <c r="J39" s="124"/>
      <c r="K39" s="123"/>
      <c r="L39" s="123"/>
      <c r="M39" s="2"/>
      <c r="N39" s="29" t="s">
        <v>17</v>
      </c>
      <c r="O39" s="2" t="s">
        <v>349</v>
      </c>
      <c r="P39" s="29" t="s">
        <v>736</v>
      </c>
      <c r="Q39" s="40" t="s">
        <v>21</v>
      </c>
      <c r="R39" s="123" t="s">
        <v>293</v>
      </c>
      <c r="S39" s="29" t="s">
        <v>18</v>
      </c>
      <c r="T39" s="40"/>
      <c r="U39" s="2"/>
      <c r="V39" s="129" t="s">
        <v>350</v>
      </c>
      <c r="W39" s="2" t="str">
        <f>_xlfn.XLOOKUP(Control[[#This Row],[No.Remedy]],Tabla2[ID de la incidencia*+],Tabla2[Usuario asignado+],"No encontrado",0)</f>
        <v>No encontrado</v>
      </c>
      <c r="X39" t="str">
        <f>_xlfn.XLOOKUP(Control[[#This Row],[No.Remedy]],Tabla2[ID de la incidencia*+],Tabla2[Estado*],"No encontrado",0)</f>
        <v>No encontrado</v>
      </c>
      <c r="Y39" s="110"/>
    </row>
    <row r="40" spans="1:25" ht="15.75" hidden="1" customHeight="1" x14ac:dyDescent="0.25">
      <c r="A40" s="9">
        <f t="shared" si="0"/>
        <v>27</v>
      </c>
      <c r="B40" s="9" t="s">
        <v>351</v>
      </c>
      <c r="C40" s="56" t="s">
        <v>352</v>
      </c>
      <c r="D40" s="56"/>
      <c r="E40" s="29">
        <v>45790</v>
      </c>
      <c r="F40" s="123">
        <v>45829</v>
      </c>
      <c r="G40" s="61">
        <f ca="1">HOY-Control[[#This Row],[Fecha Inicial]]</f>
        <v>121</v>
      </c>
      <c r="H40" s="29"/>
      <c r="I40" s="124"/>
      <c r="J40" s="124"/>
      <c r="K40" s="123"/>
      <c r="L40" s="123"/>
      <c r="M40" s="2"/>
      <c r="N40" s="29" t="s">
        <v>75</v>
      </c>
      <c r="O40" s="2" t="s">
        <v>353</v>
      </c>
      <c r="P40" s="29" t="s">
        <v>736</v>
      </c>
      <c r="Q40" s="40" t="s">
        <v>21</v>
      </c>
      <c r="R40" s="123" t="s">
        <v>354</v>
      </c>
      <c r="S40" s="29" t="s">
        <v>20</v>
      </c>
      <c r="T40" s="231" t="s">
        <v>355</v>
      </c>
      <c r="U40" s="2">
        <v>60969</v>
      </c>
      <c r="V40" s="129" t="s">
        <v>356</v>
      </c>
      <c r="W40" s="2" t="str">
        <f>_xlfn.XLOOKUP(Control[[#This Row],[No.Remedy]],Tabla2[ID de la incidencia*+],Tabla2[Usuario asignado+],"No encontrado",0)</f>
        <v>No encontrado</v>
      </c>
      <c r="X40" t="str">
        <f>_xlfn.XLOOKUP(Control[[#This Row],[No.Remedy]],Tabla2[ID de la incidencia*+],Tabla2[Estado*],"No encontrado",0)</f>
        <v>No encontrado</v>
      </c>
      <c r="Y40" s="110"/>
    </row>
    <row r="41" spans="1:25" ht="15.75" hidden="1" customHeight="1" x14ac:dyDescent="0.25">
      <c r="A41" s="9">
        <f t="shared" si="0"/>
        <v>28</v>
      </c>
      <c r="B41" s="9" t="s">
        <v>360</v>
      </c>
      <c r="C41" s="56" t="s">
        <v>361</v>
      </c>
      <c r="D41" s="56"/>
      <c r="E41" s="29">
        <v>45804</v>
      </c>
      <c r="F41" s="123">
        <v>45829</v>
      </c>
      <c r="G41" s="61">
        <f ca="1">HOY-Control[[#This Row],[Fecha Inicial]]</f>
        <v>107</v>
      </c>
      <c r="H41" s="29"/>
      <c r="I41" s="124"/>
      <c r="J41" s="124"/>
      <c r="K41" s="123"/>
      <c r="L41" s="123"/>
      <c r="M41" s="2"/>
      <c r="N41" s="29" t="s">
        <v>17</v>
      </c>
      <c r="O41" s="2" t="s">
        <v>362</v>
      </c>
      <c r="P41" s="29" t="s">
        <v>736</v>
      </c>
      <c r="Q41" s="40" t="s">
        <v>21</v>
      </c>
      <c r="R41" s="123" t="s">
        <v>363</v>
      </c>
      <c r="S41" s="29" t="s">
        <v>18</v>
      </c>
      <c r="T41" s="40"/>
      <c r="U41" s="2"/>
      <c r="V41" s="126" t="s">
        <v>364</v>
      </c>
      <c r="W41" s="2" t="str">
        <f>_xlfn.XLOOKUP(Control[[#This Row],[No.Remedy]],Tabla2[ID de la incidencia*+],Tabla2[Usuario asignado+],"No encontrado",0)</f>
        <v>No encontrado</v>
      </c>
      <c r="X41" t="str">
        <f>_xlfn.XLOOKUP(Control[[#This Row],[No.Remedy]],Tabla2[ID de la incidencia*+],Tabla2[Estado*],"No encontrado",0)</f>
        <v>No encontrado</v>
      </c>
      <c r="Y41" s="110"/>
    </row>
    <row r="42" spans="1:25" ht="15.75" hidden="1" customHeight="1" x14ac:dyDescent="0.25">
      <c r="A42" s="9">
        <f t="shared" si="0"/>
        <v>29</v>
      </c>
      <c r="B42" s="9" t="s">
        <v>365</v>
      </c>
      <c r="C42" s="56" t="s">
        <v>924</v>
      </c>
      <c r="D42" s="56"/>
      <c r="E42" s="29">
        <v>45813</v>
      </c>
      <c r="F42" s="123">
        <v>45828</v>
      </c>
      <c r="G42" s="61">
        <f ca="1">HOY-Control[[#This Row],[Fecha Inicial]]</f>
        <v>98</v>
      </c>
      <c r="H42" s="29"/>
      <c r="I42" s="124"/>
      <c r="J42" s="124"/>
      <c r="K42" s="123"/>
      <c r="L42" s="123"/>
      <c r="M42" s="2"/>
      <c r="N42" s="29" t="s">
        <v>17</v>
      </c>
      <c r="O42" s="2" t="s">
        <v>366</v>
      </c>
      <c r="P42" s="29" t="s">
        <v>736</v>
      </c>
      <c r="Q42" s="40" t="s">
        <v>21</v>
      </c>
      <c r="R42" s="29" t="s">
        <v>283</v>
      </c>
      <c r="S42" s="29" t="s">
        <v>20</v>
      </c>
      <c r="T42" s="40"/>
      <c r="U42" s="2"/>
      <c r="V42" s="126" t="s">
        <v>367</v>
      </c>
      <c r="W42" s="2" t="str">
        <f>_xlfn.XLOOKUP(Control[[#This Row],[No.Remedy]],Tabla2[ID de la incidencia*+],Tabla2[Usuario asignado+],"No encontrado",0)</f>
        <v>No encontrado</v>
      </c>
      <c r="X42" t="str">
        <f>_xlfn.XLOOKUP(Control[[#This Row],[No.Remedy]],Tabla2[ID de la incidencia*+],Tabla2[Estado*],"No encontrado",0)</f>
        <v>No encontrado</v>
      </c>
      <c r="Y42" s="110"/>
    </row>
    <row r="43" spans="1:25" ht="15.75" hidden="1" customHeight="1" x14ac:dyDescent="0.25">
      <c r="A43" s="9">
        <f t="shared" si="0"/>
        <v>30</v>
      </c>
      <c r="B43" s="9" t="s">
        <v>368</v>
      </c>
      <c r="C43" s="56" t="s">
        <v>925</v>
      </c>
      <c r="D43" s="56"/>
      <c r="E43" s="29">
        <v>45813</v>
      </c>
      <c r="F43" s="123">
        <v>45828</v>
      </c>
      <c r="G43" s="61">
        <f ca="1">HOY-Control[[#This Row],[Fecha Inicial]]</f>
        <v>98</v>
      </c>
      <c r="H43" s="29"/>
      <c r="I43" s="124"/>
      <c r="J43" s="124"/>
      <c r="K43" s="123"/>
      <c r="L43" s="123"/>
      <c r="M43" s="2"/>
      <c r="N43" s="29" t="s">
        <v>75</v>
      </c>
      <c r="O43" s="2" t="s">
        <v>369</v>
      </c>
      <c r="P43" s="29" t="s">
        <v>736</v>
      </c>
      <c r="Q43" s="40" t="s">
        <v>21</v>
      </c>
      <c r="R43" s="123" t="s">
        <v>370</v>
      </c>
      <c r="S43" s="29" t="s">
        <v>18</v>
      </c>
      <c r="T43" s="40"/>
      <c r="U43" s="2"/>
      <c r="V43" s="126" t="s">
        <v>371</v>
      </c>
      <c r="W43" s="2" t="str">
        <f>_xlfn.XLOOKUP(Control[[#This Row],[No.Remedy]],Tabla2[ID de la incidencia*+],Tabla2[Usuario asignado+],"No encontrado",0)</f>
        <v>No encontrado</v>
      </c>
      <c r="X43" t="str">
        <f>_xlfn.XLOOKUP(Control[[#This Row],[No.Remedy]],Tabla2[ID de la incidencia*+],Tabla2[Estado*],"No encontrado",0)</f>
        <v>No encontrado</v>
      </c>
      <c r="Y43" s="110"/>
    </row>
    <row r="44" spans="1:25" ht="15.75" hidden="1" customHeight="1" x14ac:dyDescent="0.25">
      <c r="A44" s="9">
        <f t="shared" si="0"/>
        <v>31</v>
      </c>
      <c r="B44" s="9" t="s">
        <v>380</v>
      </c>
      <c r="C44" s="56" t="s">
        <v>926</v>
      </c>
      <c r="D44" s="56"/>
      <c r="E44" s="29">
        <v>45819</v>
      </c>
      <c r="F44" s="123">
        <v>45829</v>
      </c>
      <c r="G44" s="61">
        <f ca="1">HOY-Control[[#This Row],[Fecha Inicial]]</f>
        <v>92</v>
      </c>
      <c r="H44" s="29"/>
      <c r="I44" s="124"/>
      <c r="J44" s="124"/>
      <c r="K44" s="123"/>
      <c r="L44" s="123"/>
      <c r="M44" s="2"/>
      <c r="N44" s="29" t="s">
        <v>17</v>
      </c>
      <c r="O44" s="2"/>
      <c r="P44" s="29" t="s">
        <v>736</v>
      </c>
      <c r="Q44" s="40" t="s">
        <v>21</v>
      </c>
      <c r="R44" s="123"/>
      <c r="S44" s="29"/>
      <c r="T44" s="40"/>
      <c r="U44" s="2"/>
      <c r="V44" s="126" t="s">
        <v>381</v>
      </c>
      <c r="W44" s="2" t="str">
        <f>_xlfn.XLOOKUP(Control[[#This Row],[No.Remedy]],Tabla2[ID de la incidencia*+],Tabla2[Usuario asignado+],"No encontrado",0)</f>
        <v>No encontrado</v>
      </c>
      <c r="X44" t="str">
        <f>_xlfn.XLOOKUP(Control[[#This Row],[No.Remedy]],Tabla2[ID de la incidencia*+],Tabla2[Estado*],"No encontrado",0)</f>
        <v>No encontrado</v>
      </c>
      <c r="Y44" s="110"/>
    </row>
    <row r="45" spans="1:25" ht="15.75" hidden="1" customHeight="1" x14ac:dyDescent="0.25">
      <c r="A45" s="9">
        <f t="shared" si="0"/>
        <v>32</v>
      </c>
      <c r="B45" s="9" t="s">
        <v>760</v>
      </c>
      <c r="C45" s="56" t="s">
        <v>762</v>
      </c>
      <c r="D45" s="56"/>
      <c r="E45" s="29">
        <v>45852</v>
      </c>
      <c r="F45" s="123">
        <v>45853</v>
      </c>
      <c r="G45" s="61">
        <f ca="1">HOY-Control[[#This Row],[Fecha Inicial]]</f>
        <v>59</v>
      </c>
      <c r="H45" s="29"/>
      <c r="I45" s="124"/>
      <c r="J45" s="124"/>
      <c r="K45" s="123"/>
      <c r="L45" s="123"/>
      <c r="M45" s="2"/>
      <c r="N45" s="29" t="s">
        <v>75</v>
      </c>
      <c r="O45" s="2"/>
      <c r="P45" s="29" t="s">
        <v>736</v>
      </c>
      <c r="Q45" s="40" t="s">
        <v>21</v>
      </c>
      <c r="R45" s="123" t="s">
        <v>763</v>
      </c>
      <c r="S45" s="29" t="s">
        <v>18</v>
      </c>
      <c r="T45" s="40" t="s">
        <v>70</v>
      </c>
      <c r="U45" s="2"/>
      <c r="V45" s="126" t="s">
        <v>761</v>
      </c>
      <c r="W45" s="2" t="str">
        <f>_xlfn.XLOOKUP(Control[[#This Row],[No.Remedy]],Tabla2[ID de la incidencia*+],Tabla2[Usuario asignado+],"No encontrado",0)</f>
        <v>No encontrado</v>
      </c>
      <c r="X45" t="str">
        <f>_xlfn.XLOOKUP(Control[[#This Row],[No.Remedy]],Tabla2[ID de la incidencia*+],Tabla2[Estado*],"No encontrado",0)</f>
        <v>No encontrado</v>
      </c>
      <c r="Y45" s="110"/>
    </row>
    <row r="46" spans="1:25" ht="15.75" hidden="1" customHeight="1" x14ac:dyDescent="0.25">
      <c r="A46" s="9">
        <f t="shared" si="0"/>
        <v>33</v>
      </c>
      <c r="B46" s="9" t="s">
        <v>92</v>
      </c>
      <c r="C46" s="56" t="s">
        <v>93</v>
      </c>
      <c r="D46" s="56"/>
      <c r="E46" s="29">
        <v>45713</v>
      </c>
      <c r="F46" s="123"/>
      <c r="G46" s="61">
        <f ca="1">HOY-Control[[#This Row],[Fecha Inicial]]</f>
        <v>198</v>
      </c>
      <c r="H46" s="29" t="s">
        <v>12</v>
      </c>
      <c r="I46" s="124"/>
      <c r="J46" s="124"/>
      <c r="K46" s="123"/>
      <c r="L46" s="29"/>
      <c r="M46" s="9"/>
      <c r="N46" s="29" t="s">
        <v>17</v>
      </c>
      <c r="O46" s="57" t="s">
        <v>876</v>
      </c>
      <c r="P46" s="29" t="s">
        <v>736</v>
      </c>
      <c r="Q46" s="40" t="s">
        <v>21</v>
      </c>
      <c r="R46" s="40" t="s">
        <v>868</v>
      </c>
      <c r="S46" s="29" t="s">
        <v>20</v>
      </c>
      <c r="T46" s="40" t="s">
        <v>96</v>
      </c>
      <c r="U46" s="9" t="s">
        <v>97</v>
      </c>
      <c r="V46" s="125" t="s">
        <v>98</v>
      </c>
      <c r="W46" s="2" t="str">
        <f>_xlfn.XLOOKUP(Control[[#This Row],[No.Remedy]],Tabla2[ID de la incidencia*+],Tabla2[Usuario asignado+],"No encontrado",0)</f>
        <v>No encontrado</v>
      </c>
      <c r="X46" t="str">
        <f>_xlfn.XLOOKUP(Control[[#This Row],[No.Remedy]],Tabla2[ID de la incidencia*+],Tabla2[Estado*],"No encontrado",0)</f>
        <v>No encontrado</v>
      </c>
      <c r="Y46" s="110"/>
    </row>
    <row r="47" spans="1:25" ht="15.75" hidden="1" customHeight="1" x14ac:dyDescent="0.25">
      <c r="A47" s="9">
        <f t="shared" si="0"/>
        <v>34</v>
      </c>
      <c r="B47" s="9" t="s">
        <v>391</v>
      </c>
      <c r="C47" s="56" t="s">
        <v>392</v>
      </c>
      <c r="D47" s="56" t="s">
        <v>855</v>
      </c>
      <c r="E47" s="29">
        <v>45833</v>
      </c>
      <c r="F47" s="123"/>
      <c r="G47" s="61">
        <f ca="1">HOY-Control[[#This Row],[Fecha Inicial]]</f>
        <v>78</v>
      </c>
      <c r="H47" s="29"/>
      <c r="I47" s="124"/>
      <c r="J47" s="124"/>
      <c r="K47" s="123"/>
      <c r="L47" s="123"/>
      <c r="M47" s="2"/>
      <c r="N47" s="29" t="s">
        <v>17</v>
      </c>
      <c r="O47" s="2" t="s">
        <v>872</v>
      </c>
      <c r="P47" s="29" t="s">
        <v>736</v>
      </c>
      <c r="Q47" s="40" t="s">
        <v>21</v>
      </c>
      <c r="R47" s="40" t="s">
        <v>393</v>
      </c>
      <c r="S47" s="29" t="s">
        <v>20</v>
      </c>
      <c r="T47" s="40" t="s">
        <v>70</v>
      </c>
      <c r="U47" s="9">
        <v>60983</v>
      </c>
      <c r="V47" s="129" t="s">
        <v>394</v>
      </c>
      <c r="W47" s="2" t="str">
        <f>_xlfn.XLOOKUP(Control[[#This Row],[No.Remedy]],Tabla2[ID de la incidencia*+],Tabla2[Usuario asignado+],"No encontrado",0)</f>
        <v>No encontrado</v>
      </c>
      <c r="X47" t="str">
        <f>_xlfn.XLOOKUP(Control[[#This Row],[No.Remedy]],Tabla2[ID de la incidencia*+],Tabla2[Estado*],"No encontrado",0)</f>
        <v>No encontrado</v>
      </c>
      <c r="Y47" s="110"/>
    </row>
    <row r="48" spans="1:25" ht="15.75" hidden="1" customHeight="1" x14ac:dyDescent="0.25">
      <c r="A48" s="9">
        <f t="shared" si="0"/>
        <v>35</v>
      </c>
      <c r="B48" s="9" t="s">
        <v>215</v>
      </c>
      <c r="C48" s="56" t="s">
        <v>216</v>
      </c>
      <c r="D48" s="56"/>
      <c r="E48" s="29">
        <v>45644</v>
      </c>
      <c r="F48" s="123"/>
      <c r="G48" s="61">
        <f ca="1">HOY-Control[[#This Row],[Fecha Inicial]]</f>
        <v>267</v>
      </c>
      <c r="H48" s="9" t="s">
        <v>217</v>
      </c>
      <c r="I48" s="3">
        <v>6580600</v>
      </c>
      <c r="J48" s="3"/>
      <c r="K48" s="4">
        <v>45779</v>
      </c>
      <c r="L48" s="29"/>
      <c r="M48" s="9"/>
      <c r="N48" s="29" t="s">
        <v>17</v>
      </c>
      <c r="O48" s="59" t="s">
        <v>934</v>
      </c>
      <c r="P48" s="29" t="s">
        <v>736</v>
      </c>
      <c r="Q48" s="40" t="s">
        <v>21</v>
      </c>
      <c r="R48" s="123" t="s">
        <v>62</v>
      </c>
      <c r="S48" s="29" t="s">
        <v>20</v>
      </c>
      <c r="T48" s="40" t="s">
        <v>129</v>
      </c>
      <c r="U48" s="2" t="s">
        <v>77</v>
      </c>
      <c r="V48" s="125" t="s">
        <v>219</v>
      </c>
      <c r="W48" s="14" t="str">
        <f>_xlfn.XLOOKUP(Control[[#This Row],[No.Remedy]],Tabla2[ID de la incidencia*+],Tabla2[Usuario asignado+],"No encontrado",0)</f>
        <v>No encontrado</v>
      </c>
      <c r="X48" t="str">
        <f>_xlfn.XLOOKUP(Control[[#This Row],[No.Remedy]],Tabla2[ID de la incidencia*+],Tabla2[Estado*],"No encontrado",0)</f>
        <v>No encontrado</v>
      </c>
      <c r="Y48" s="110"/>
    </row>
    <row r="49" spans="1:25" ht="15.75" hidden="1" customHeight="1" x14ac:dyDescent="0.25">
      <c r="A49" s="9">
        <f t="shared" ref="A49:A50" si="1">+ROW()-13</f>
        <v>36</v>
      </c>
      <c r="B49" s="9" t="s">
        <v>230</v>
      </c>
      <c r="C49" s="56" t="s">
        <v>231</v>
      </c>
      <c r="D49" s="56"/>
      <c r="E49" s="29">
        <v>45749</v>
      </c>
      <c r="F49" s="123"/>
      <c r="G49" s="61">
        <f ca="1">HOY-Control[[#This Row],[Fecha Inicial]]</f>
        <v>162</v>
      </c>
      <c r="H49" s="29" t="s">
        <v>58</v>
      </c>
      <c r="I49" s="124">
        <v>0</v>
      </c>
      <c r="J49" s="124"/>
      <c r="K49" s="123">
        <v>45839</v>
      </c>
      <c r="L49" s="29" t="s">
        <v>58</v>
      </c>
      <c r="M49" s="2">
        <v>0</v>
      </c>
      <c r="N49" s="29" t="s">
        <v>17</v>
      </c>
      <c r="O49" s="57" t="s">
        <v>861</v>
      </c>
      <c r="P49" s="29" t="s">
        <v>736</v>
      </c>
      <c r="Q49" s="40" t="s">
        <v>21</v>
      </c>
      <c r="R49" s="123" t="s">
        <v>233</v>
      </c>
      <c r="S49" s="29" t="s">
        <v>22</v>
      </c>
      <c r="T49" s="40" t="s">
        <v>162</v>
      </c>
      <c r="U49" s="2" t="s">
        <v>234</v>
      </c>
      <c r="V49" s="125" t="s">
        <v>235</v>
      </c>
      <c r="W49" s="2" t="str">
        <f>_xlfn.XLOOKUP(Control[[#This Row],[No.Remedy]],Tabla2[ID de la incidencia*+],Tabla2[Usuario asignado+],"No encontrado",0)</f>
        <v>No encontrado</v>
      </c>
      <c r="X49" t="str">
        <f>_xlfn.XLOOKUP(Control[[#This Row],[No.Remedy]],Tabla2[ID de la incidencia*+],Tabla2[Estado*],"No encontrado",0)</f>
        <v>No encontrado</v>
      </c>
      <c r="Y49" s="110"/>
    </row>
    <row r="50" spans="1:25" ht="15.75" hidden="1" customHeight="1" x14ac:dyDescent="0.25">
      <c r="A50" s="9">
        <f t="shared" si="1"/>
        <v>37</v>
      </c>
      <c r="B50" s="9" t="s">
        <v>1030</v>
      </c>
      <c r="C50" s="56" t="s">
        <v>1045</v>
      </c>
      <c r="D50" s="56" t="s">
        <v>1046</v>
      </c>
      <c r="E50" s="29">
        <v>45861</v>
      </c>
      <c r="F50" s="123"/>
      <c r="G50" s="61">
        <f ca="1">HOY-Control[[#This Row],[Fecha Inicial]]</f>
        <v>50</v>
      </c>
      <c r="H50" s="29"/>
      <c r="I50" s="124"/>
      <c r="J50" s="124"/>
      <c r="K50" s="123"/>
      <c r="L50" s="123"/>
      <c r="M50" s="2"/>
      <c r="N50" s="29" t="s">
        <v>17</v>
      </c>
      <c r="O50" s="2" t="s">
        <v>1058</v>
      </c>
      <c r="P50" s="29" t="s">
        <v>736</v>
      </c>
      <c r="Q50" s="40" t="s">
        <v>21</v>
      </c>
      <c r="R50" s="123" t="s">
        <v>1044</v>
      </c>
      <c r="S50" s="29" t="s">
        <v>18</v>
      </c>
      <c r="T50" s="40" t="s">
        <v>81</v>
      </c>
      <c r="U50" s="2"/>
      <c r="V50" s="126" t="s">
        <v>1031</v>
      </c>
      <c r="W50" s="2" t="str">
        <f>_xlfn.XLOOKUP(Control[[#This Row],[No.Remedy]],Tabla2[ID de la incidencia*+],Tabla2[Usuario asignado+],"No encontrado",0)</f>
        <v>No encontrado</v>
      </c>
      <c r="X50" t="str">
        <f>_xlfn.XLOOKUP(Control[[#This Row],[No.Remedy]],Tabla2[ID de la incidencia*+],Tabla2[Estado*],"No encontrado",0)</f>
        <v>No encontrado</v>
      </c>
      <c r="Y50" s="110">
        <v>1</v>
      </c>
    </row>
    <row r="51" spans="1:25" ht="15.75" hidden="1" customHeight="1" x14ac:dyDescent="0.25">
      <c r="A51" s="9">
        <f t="shared" ref="A51:A52" si="2">+ROW()-13</f>
        <v>38</v>
      </c>
      <c r="B51" s="9" t="s">
        <v>1032</v>
      </c>
      <c r="C51" s="56" t="s">
        <v>1047</v>
      </c>
      <c r="D51" s="56" t="s">
        <v>1048</v>
      </c>
      <c r="E51" s="29">
        <v>45869</v>
      </c>
      <c r="F51" s="123"/>
      <c r="G51" s="61">
        <f ca="1">HOY-Control[[#This Row],[Fecha Inicial]]</f>
        <v>42</v>
      </c>
      <c r="H51" s="29"/>
      <c r="I51" s="124"/>
      <c r="J51" s="124"/>
      <c r="K51" s="123"/>
      <c r="L51" s="123"/>
      <c r="M51" s="2"/>
      <c r="N51" s="29" t="s">
        <v>75</v>
      </c>
      <c r="O51" s="2" t="s">
        <v>1050</v>
      </c>
      <c r="P51" s="29" t="s">
        <v>736</v>
      </c>
      <c r="Q51" s="40" t="s">
        <v>21</v>
      </c>
      <c r="R51" s="123" t="s">
        <v>1049</v>
      </c>
      <c r="S51" s="29" t="s">
        <v>18</v>
      </c>
      <c r="T51" s="40" t="s">
        <v>63</v>
      </c>
      <c r="U51" s="2"/>
      <c r="V51" s="126" t="s">
        <v>1037</v>
      </c>
      <c r="W51" s="2" t="str">
        <f>_xlfn.XLOOKUP(Control[[#This Row],[No.Remedy]],Tabla2[ID de la incidencia*+],Tabla2[Usuario asignado+],"No encontrado",0)</f>
        <v>Luis Enrique Rojas Villota</v>
      </c>
      <c r="X51" t="str">
        <f>_xlfn.XLOOKUP(Control[[#This Row],[No.Remedy]],Tabla2[ID de la incidencia*+],Tabla2[Estado*],"No encontrado",0)</f>
        <v>Resuelto</v>
      </c>
      <c r="Y51" s="110"/>
    </row>
    <row r="52" spans="1:25" ht="15.75" hidden="1" customHeight="1" x14ac:dyDescent="0.25">
      <c r="A52" s="9">
        <f t="shared" si="2"/>
        <v>39</v>
      </c>
      <c r="B52" s="9" t="s">
        <v>1038</v>
      </c>
      <c r="C52" s="56" t="s">
        <v>1051</v>
      </c>
      <c r="D52" s="56" t="s">
        <v>1052</v>
      </c>
      <c r="E52" s="29">
        <v>45869</v>
      </c>
      <c r="F52" s="123"/>
      <c r="G52" s="61">
        <f ca="1">HOY-Control[[#This Row],[Fecha Inicial]]</f>
        <v>42</v>
      </c>
      <c r="H52" s="29"/>
      <c r="I52" s="124"/>
      <c r="J52" s="124"/>
      <c r="K52" s="123"/>
      <c r="L52" s="123"/>
      <c r="M52" s="2"/>
      <c r="N52" s="29" t="s">
        <v>75</v>
      </c>
      <c r="O52" s="2" t="s">
        <v>1054</v>
      </c>
      <c r="P52" s="29" t="s">
        <v>736</v>
      </c>
      <c r="Q52" s="40" t="s">
        <v>21</v>
      </c>
      <c r="R52" s="123" t="s">
        <v>283</v>
      </c>
      <c r="S52" s="29" t="s">
        <v>18</v>
      </c>
      <c r="T52" s="40" t="s">
        <v>1027</v>
      </c>
      <c r="U52" s="2"/>
      <c r="V52" s="126" t="s">
        <v>1041</v>
      </c>
      <c r="W52" s="2" t="str">
        <f>_xlfn.XLOOKUP(Control[[#This Row],[No.Remedy]],Tabla2[ID de la incidencia*+],Tabla2[Usuario asignado+],"No encontrado",0)</f>
        <v>Luis Enrique Rojas Villota</v>
      </c>
      <c r="X52" t="str">
        <f>_xlfn.XLOOKUP(Control[[#This Row],[No.Remedy]],Tabla2[ID de la incidencia*+],Tabla2[Estado*],"No encontrado",0)</f>
        <v>Resuelto</v>
      </c>
      <c r="Y52" s="110"/>
    </row>
    <row r="53" spans="1:25" ht="15.75" customHeight="1" x14ac:dyDescent="0.25">
      <c r="A53" s="9">
        <f t="shared" ref="A53:A84" si="3">+ROW()-13</f>
        <v>40</v>
      </c>
      <c r="B53" s="9" t="s">
        <v>1222</v>
      </c>
      <c r="C53" s="56" t="s">
        <v>1265</v>
      </c>
      <c r="D53" s="56"/>
      <c r="E53" s="29">
        <v>45908</v>
      </c>
      <c r="F53" s="123"/>
      <c r="G53" s="61">
        <f ca="1">HOY-Control[[#This Row],[Fecha Inicial]]</f>
        <v>3</v>
      </c>
      <c r="H53" s="29"/>
      <c r="I53" s="124"/>
      <c r="J53" s="124"/>
      <c r="K53" s="123"/>
      <c r="L53" s="123"/>
      <c r="M53" s="2"/>
      <c r="N53" s="29" t="s">
        <v>17</v>
      </c>
      <c r="O53" s="2"/>
      <c r="P53" s="29" t="s">
        <v>68</v>
      </c>
      <c r="Q53" s="40" t="s">
        <v>23</v>
      </c>
      <c r="R53" s="40" t="s">
        <v>283</v>
      </c>
      <c r="S53" s="29" t="s">
        <v>20</v>
      </c>
      <c r="T53" s="40" t="s">
        <v>1027</v>
      </c>
      <c r="U53" s="9"/>
      <c r="V53" s="130" t="s">
        <v>1224</v>
      </c>
      <c r="W53" s="292" t="str">
        <f>_xlfn.XLOOKUP(Control[[#This Row],[No.Remedy]],Tabla2[ID de la incidencia*+],Tabla2[Usuario asignado+],"No encontrado",0)</f>
        <v>Luis Enrique Rojas Villota</v>
      </c>
      <c r="X53" t="str">
        <f>_xlfn.XLOOKUP(Control[[#This Row],[No.Remedy]],Tabla2[ID de la incidencia*+],Tabla2[Estado*],"No encontrado",0)</f>
        <v>Asignado</v>
      </c>
      <c r="Y53" s="110"/>
    </row>
    <row r="54" spans="1:25" ht="15.75" hidden="1" customHeight="1" x14ac:dyDescent="0.25">
      <c r="A54" s="9">
        <f t="shared" si="3"/>
        <v>41</v>
      </c>
      <c r="B54" s="9" t="s">
        <v>1136</v>
      </c>
      <c r="C54" s="56" t="s">
        <v>1147</v>
      </c>
      <c r="D54" s="56"/>
      <c r="E54" s="29">
        <v>45877</v>
      </c>
      <c r="F54" s="123"/>
      <c r="G54" s="61">
        <f ca="1">HOY-Control[[#This Row],[Fecha Inicial]]</f>
        <v>34</v>
      </c>
      <c r="H54" s="29"/>
      <c r="I54" s="124"/>
      <c r="J54" s="124"/>
      <c r="K54" s="123"/>
      <c r="L54" s="123" t="s">
        <v>207</v>
      </c>
      <c r="M54" s="2"/>
      <c r="N54" s="29" t="s">
        <v>75</v>
      </c>
      <c r="O54" s="2" t="s">
        <v>1150</v>
      </c>
      <c r="P54" s="29" t="s">
        <v>736</v>
      </c>
      <c r="Q54" s="40" t="s">
        <v>21</v>
      </c>
      <c r="R54" s="123"/>
      <c r="S54" s="29" t="s">
        <v>18</v>
      </c>
      <c r="T54" s="40"/>
      <c r="U54" s="2"/>
      <c r="V54" s="130" t="s">
        <v>1140</v>
      </c>
      <c r="W54" s="2" t="str">
        <f>_xlfn.XLOOKUP(Control[[#This Row],[No.Remedy]],Tabla2[ID de la incidencia*+],Tabla2[Usuario asignado+],"No encontrado",0)</f>
        <v>Luis Enrique Rojas Villota</v>
      </c>
      <c r="X54" t="str">
        <f>_xlfn.XLOOKUP(Control[[#This Row],[No.Remedy]],Tabla2[ID de la incidencia*+],Tabla2[Estado*],"No encontrado",0)</f>
        <v>Resuelto</v>
      </c>
      <c r="Y54" s="110"/>
    </row>
    <row r="55" spans="1:25" ht="15.75" customHeight="1" x14ac:dyDescent="0.25">
      <c r="A55" s="9">
        <f t="shared" si="3"/>
        <v>42</v>
      </c>
      <c r="B55" s="9" t="s">
        <v>1225</v>
      </c>
      <c r="C55" s="56" t="s">
        <v>1266</v>
      </c>
      <c r="D55" s="56"/>
      <c r="E55" s="29">
        <v>45908</v>
      </c>
      <c r="F55" s="123"/>
      <c r="G55" s="61">
        <f ca="1">HOY-Control[[#This Row],[Fecha Inicial]]</f>
        <v>3</v>
      </c>
      <c r="H55" s="29"/>
      <c r="I55" s="124"/>
      <c r="J55" s="124"/>
      <c r="K55" s="123"/>
      <c r="L55" s="123"/>
      <c r="M55" s="2"/>
      <c r="N55" s="29" t="s">
        <v>75</v>
      </c>
      <c r="O55" s="2"/>
      <c r="P55" s="29" t="s">
        <v>68</v>
      </c>
      <c r="Q55" s="40" t="s">
        <v>23</v>
      </c>
      <c r="R55" s="40" t="s">
        <v>1267</v>
      </c>
      <c r="S55" s="29" t="s">
        <v>18</v>
      </c>
      <c r="T55" s="40" t="s">
        <v>1161</v>
      </c>
      <c r="U55" s="9"/>
      <c r="V55" s="130" t="s">
        <v>1229</v>
      </c>
      <c r="W55" s="56" t="str">
        <f>_xlfn.XLOOKUP(Control[[#This Row],[No.Remedy]],Tabla2[ID de la incidencia*+],Tabla2[Usuario asignado+],"No encontrado",0)</f>
        <v>Luis Enrique Rojas Villota</v>
      </c>
      <c r="X55" t="str">
        <f>_xlfn.XLOOKUP(Control[[#This Row],[No.Remedy]],Tabla2[ID de la incidencia*+],Tabla2[Estado*],"No encontrado",0)</f>
        <v>Asignado</v>
      </c>
      <c r="Y55" s="110"/>
    </row>
    <row r="56" spans="1:25" ht="15.75" customHeight="1" x14ac:dyDescent="0.25">
      <c r="A56" s="9">
        <f t="shared" si="3"/>
        <v>43</v>
      </c>
      <c r="B56" s="9" t="s">
        <v>1234</v>
      </c>
      <c r="C56" s="56" t="s">
        <v>1269</v>
      </c>
      <c r="D56" s="56"/>
      <c r="E56" s="29">
        <v>45908</v>
      </c>
      <c r="F56" s="123"/>
      <c r="G56" s="61">
        <f ca="1">HOY-Control[[#This Row],[Fecha Inicial]]</f>
        <v>3</v>
      </c>
      <c r="H56" s="29"/>
      <c r="I56" s="124"/>
      <c r="J56" s="124"/>
      <c r="K56" s="123"/>
      <c r="L56" s="123"/>
      <c r="M56" s="2"/>
      <c r="N56" s="29" t="s">
        <v>17</v>
      </c>
      <c r="O56" s="2" t="s">
        <v>1275</v>
      </c>
      <c r="P56" s="29" t="s">
        <v>68</v>
      </c>
      <c r="Q56" s="40" t="s">
        <v>23</v>
      </c>
      <c r="R56" s="40" t="s">
        <v>1270</v>
      </c>
      <c r="S56" s="29" t="s">
        <v>22</v>
      </c>
      <c r="T56" s="40" t="s">
        <v>1161</v>
      </c>
      <c r="U56" s="9"/>
      <c r="V56" s="130" t="s">
        <v>1238</v>
      </c>
      <c r="W56" s="56" t="str">
        <f>_xlfn.XLOOKUP(Control[[#This Row],[No.Remedy]],Tabla2[ID de la incidencia*+],Tabla2[Usuario asignado+],"No encontrado",0)</f>
        <v>Luis Enrique Rojas Villota</v>
      </c>
      <c r="X56" t="str">
        <f>_xlfn.XLOOKUP(Control[[#This Row],[No.Remedy]],Tabla2[ID de la incidencia*+],Tabla2[Estado*],"No encontrado",0)</f>
        <v>Asignado</v>
      </c>
      <c r="Y56" s="110"/>
    </row>
    <row r="57" spans="1:25" ht="15.75" hidden="1" customHeight="1" x14ac:dyDescent="0.25">
      <c r="A57" s="9">
        <f t="shared" si="3"/>
        <v>44</v>
      </c>
      <c r="B57" s="9" t="s">
        <v>82</v>
      </c>
      <c r="C57" s="56" t="s">
        <v>83</v>
      </c>
      <c r="D57" s="56"/>
      <c r="E57" s="29">
        <v>45715</v>
      </c>
      <c r="F57" s="123">
        <v>45717</v>
      </c>
      <c r="G57" s="61">
        <f ca="1">HOY-Control[[#This Row],[Fecha Inicial]]</f>
        <v>196</v>
      </c>
      <c r="H57" s="29" t="s">
        <v>58</v>
      </c>
      <c r="I57" s="124">
        <v>0</v>
      </c>
      <c r="J57" s="124"/>
      <c r="K57" s="123">
        <v>45717</v>
      </c>
      <c r="L57" s="123" t="s">
        <v>58</v>
      </c>
      <c r="M57" s="2"/>
      <c r="N57" s="29" t="s">
        <v>75</v>
      </c>
      <c r="O57" s="2" t="s">
        <v>84</v>
      </c>
      <c r="P57" s="29" t="s">
        <v>61</v>
      </c>
      <c r="Q57" s="40" t="s">
        <v>55</v>
      </c>
      <c r="R57" s="123" t="s">
        <v>62</v>
      </c>
      <c r="S57" s="29" t="s">
        <v>18</v>
      </c>
      <c r="T57" s="40" t="s">
        <v>70</v>
      </c>
      <c r="U57" s="2" t="s">
        <v>77</v>
      </c>
      <c r="V57" s="276">
        <v>0</v>
      </c>
      <c r="W57" s="2" t="str">
        <f>_xlfn.XLOOKUP(Control[[#This Row],[No.Remedy]],Tabla2[ID de la incidencia*+],Tabla2[Usuario asignado+],"No encontrado",0)</f>
        <v>No encontrado</v>
      </c>
      <c r="X57" t="str">
        <f>_xlfn.XLOOKUP(Control[[#This Row],[No.Remedy]],Tabla2[ID de la incidencia*+],Tabla2[Estado*],"No encontrado",0)</f>
        <v>No encontrado</v>
      </c>
      <c r="Y57" s="110"/>
    </row>
    <row r="58" spans="1:25" ht="15.75" hidden="1" customHeight="1" x14ac:dyDescent="0.25">
      <c r="A58" s="9">
        <f t="shared" si="3"/>
        <v>45</v>
      </c>
      <c r="B58" s="9" t="s">
        <v>85</v>
      </c>
      <c r="C58" s="56" t="s">
        <v>86</v>
      </c>
      <c r="D58" s="56"/>
      <c r="E58" s="29">
        <v>45688</v>
      </c>
      <c r="F58" s="123">
        <v>45695</v>
      </c>
      <c r="G58" s="61">
        <f ca="1">HOY-Control[[#This Row],[Fecha Inicial]]</f>
        <v>223</v>
      </c>
      <c r="H58" s="29" t="s">
        <v>58</v>
      </c>
      <c r="I58" s="124">
        <v>0</v>
      </c>
      <c r="J58" s="124"/>
      <c r="K58" s="123">
        <v>45695</v>
      </c>
      <c r="L58" s="123" t="s">
        <v>58</v>
      </c>
      <c r="M58" s="2"/>
      <c r="N58" s="29" t="s">
        <v>75</v>
      </c>
      <c r="O58" s="2" t="s">
        <v>84</v>
      </c>
      <c r="P58" s="29" t="s">
        <v>61</v>
      </c>
      <c r="Q58" s="40" t="s">
        <v>55</v>
      </c>
      <c r="R58" s="123" t="s">
        <v>62</v>
      </c>
      <c r="S58" s="29" t="s">
        <v>18</v>
      </c>
      <c r="T58" s="40" t="s">
        <v>70</v>
      </c>
      <c r="U58" s="2" t="s">
        <v>77</v>
      </c>
      <c r="V58" s="276">
        <v>0</v>
      </c>
      <c r="W58" s="2" t="str">
        <f>_xlfn.XLOOKUP(Control[[#This Row],[No.Remedy]],Tabla2[ID de la incidencia*+],Tabla2[Usuario asignado+],"No encontrado",0)</f>
        <v>No encontrado</v>
      </c>
      <c r="X58" t="str">
        <f>_xlfn.XLOOKUP(Control[[#This Row],[No.Remedy]],Tabla2[ID de la incidencia*+],Tabla2[Estado*],"No encontrado",0)</f>
        <v>No encontrado</v>
      </c>
      <c r="Y58" s="110"/>
    </row>
    <row r="59" spans="1:25" ht="15.75" hidden="1" customHeight="1" x14ac:dyDescent="0.25">
      <c r="A59" s="9">
        <f t="shared" si="3"/>
        <v>46</v>
      </c>
      <c r="B59" s="9" t="s">
        <v>99</v>
      </c>
      <c r="C59" s="56" t="s">
        <v>100</v>
      </c>
      <c r="D59" s="56"/>
      <c r="E59" s="29">
        <v>45733</v>
      </c>
      <c r="F59" s="123">
        <v>45734</v>
      </c>
      <c r="G59" s="61">
        <f ca="1">HOY-Control[[#This Row],[Fecha Inicial]]</f>
        <v>178</v>
      </c>
      <c r="H59" s="29" t="s">
        <v>58</v>
      </c>
      <c r="I59" s="124">
        <v>0</v>
      </c>
      <c r="J59" s="124"/>
      <c r="K59" s="123">
        <v>45734</v>
      </c>
      <c r="L59" s="123" t="s">
        <v>58</v>
      </c>
      <c r="M59" s="2"/>
      <c r="N59" s="29" t="s">
        <v>17</v>
      </c>
      <c r="O59" s="2" t="s">
        <v>84</v>
      </c>
      <c r="P59" s="29" t="s">
        <v>61</v>
      </c>
      <c r="Q59" s="40" t="s">
        <v>55</v>
      </c>
      <c r="R59" s="123" t="s">
        <v>62</v>
      </c>
      <c r="S59" s="29" t="s">
        <v>18</v>
      </c>
      <c r="T59" s="40" t="s">
        <v>70</v>
      </c>
      <c r="U59" s="2" t="s">
        <v>77</v>
      </c>
      <c r="V59" s="276">
        <v>0</v>
      </c>
      <c r="W59" s="2" t="str">
        <f>_xlfn.XLOOKUP(Control[[#This Row],[No.Remedy]],Tabla2[ID de la incidencia*+],Tabla2[Usuario asignado+],"No encontrado",0)</f>
        <v>No encontrado</v>
      </c>
      <c r="X59" t="str">
        <f>_xlfn.XLOOKUP(Control[[#This Row],[No.Remedy]],Tabla2[ID de la incidencia*+],Tabla2[Estado*],"No encontrado",0)</f>
        <v>No encontrado</v>
      </c>
      <c r="Y59" s="110"/>
    </row>
    <row r="60" spans="1:25" ht="15.75" hidden="1" customHeight="1" x14ac:dyDescent="0.25">
      <c r="A60" s="9">
        <f t="shared" si="3"/>
        <v>47</v>
      </c>
      <c r="B60" s="9" t="s">
        <v>101</v>
      </c>
      <c r="C60" s="56" t="s">
        <v>102</v>
      </c>
      <c r="D60" s="56"/>
      <c r="E60" s="29">
        <v>45734</v>
      </c>
      <c r="F60" s="123">
        <v>45735</v>
      </c>
      <c r="G60" s="61">
        <f ca="1">HOY-Control[[#This Row],[Fecha Inicial]]</f>
        <v>177</v>
      </c>
      <c r="H60" s="29" t="s">
        <v>58</v>
      </c>
      <c r="I60" s="124">
        <v>0</v>
      </c>
      <c r="J60" s="124"/>
      <c r="K60" s="123">
        <v>45735</v>
      </c>
      <c r="L60" s="123" t="s">
        <v>58</v>
      </c>
      <c r="M60" s="2">
        <v>0</v>
      </c>
      <c r="N60" s="29" t="s">
        <v>17</v>
      </c>
      <c r="O60" s="2" t="s">
        <v>84</v>
      </c>
      <c r="P60" s="29" t="s">
        <v>61</v>
      </c>
      <c r="Q60" s="40" t="s">
        <v>55</v>
      </c>
      <c r="R60" s="123" t="s">
        <v>62</v>
      </c>
      <c r="S60" s="29" t="s">
        <v>18</v>
      </c>
      <c r="T60" s="40" t="s">
        <v>70</v>
      </c>
      <c r="U60" s="2" t="s">
        <v>77</v>
      </c>
      <c r="V60" s="276">
        <v>0</v>
      </c>
      <c r="W60" s="2" t="str">
        <f>_xlfn.XLOOKUP(Control[[#This Row],[No.Remedy]],Tabla2[ID de la incidencia*+],Tabla2[Usuario asignado+],"No encontrado",0)</f>
        <v>No encontrado</v>
      </c>
      <c r="X60" t="str">
        <f>_xlfn.XLOOKUP(Control[[#This Row],[No.Remedy]],Tabla2[ID de la incidencia*+],Tabla2[Estado*],"No encontrado",0)</f>
        <v>No encontrado</v>
      </c>
      <c r="Y60" s="110"/>
    </row>
    <row r="61" spans="1:25" ht="15.75" hidden="1" customHeight="1" x14ac:dyDescent="0.25">
      <c r="A61" s="9">
        <f t="shared" si="3"/>
        <v>48</v>
      </c>
      <c r="B61" s="9" t="s">
        <v>110</v>
      </c>
      <c r="C61" s="56" t="s">
        <v>111</v>
      </c>
      <c r="D61" s="56"/>
      <c r="E61" s="29">
        <v>45603</v>
      </c>
      <c r="F61" s="123"/>
      <c r="G61" s="61">
        <f ca="1">HOY-Control[[#This Row],[Fecha Inicial]]</f>
        <v>308</v>
      </c>
      <c r="H61" s="29"/>
      <c r="I61" s="3">
        <v>4013598</v>
      </c>
      <c r="J61" s="3"/>
      <c r="K61" s="123">
        <v>45726</v>
      </c>
      <c r="L61" s="123" t="s">
        <v>112</v>
      </c>
      <c r="M61" s="9">
        <v>865</v>
      </c>
      <c r="N61" s="29" t="s">
        <v>17</v>
      </c>
      <c r="O61" s="280" t="s">
        <v>113</v>
      </c>
      <c r="P61" s="29" t="s">
        <v>61</v>
      </c>
      <c r="Q61" s="40" t="s">
        <v>55</v>
      </c>
      <c r="R61" s="123" t="s">
        <v>114</v>
      </c>
      <c r="S61" s="29" t="s">
        <v>20</v>
      </c>
      <c r="T61" s="40" t="s">
        <v>115</v>
      </c>
      <c r="U61" s="2" t="s">
        <v>116</v>
      </c>
      <c r="V61" s="276">
        <v>0</v>
      </c>
      <c r="W61" s="2" t="str">
        <f>_xlfn.XLOOKUP(Control[[#This Row],[No.Remedy]],Tabla2[ID de la incidencia*+],Tabla2[Usuario asignado+],"No encontrado",0)</f>
        <v>No encontrado</v>
      </c>
      <c r="X61" t="str">
        <f>_xlfn.XLOOKUP(Control[[#This Row],[No.Remedy]],Tabla2[ID de la incidencia*+],Tabla2[Estado*],"No encontrado",0)</f>
        <v>No encontrado</v>
      </c>
      <c r="Y61" s="110"/>
    </row>
    <row r="62" spans="1:25" ht="15.75" hidden="1" customHeight="1" x14ac:dyDescent="0.25">
      <c r="A62" s="9">
        <f t="shared" si="3"/>
        <v>49</v>
      </c>
      <c r="B62" s="9" t="s">
        <v>132</v>
      </c>
      <c r="C62" s="56" t="s">
        <v>133</v>
      </c>
      <c r="D62" s="56"/>
      <c r="E62" s="29">
        <v>45748</v>
      </c>
      <c r="F62" s="123">
        <v>45834</v>
      </c>
      <c r="G62" s="61">
        <f ca="1">HOY-Control[[#This Row],[Fecha Inicial]]</f>
        <v>163</v>
      </c>
      <c r="H62" s="29"/>
      <c r="I62" s="124"/>
      <c r="J62" s="124"/>
      <c r="K62" s="123"/>
      <c r="L62" s="123" t="s">
        <v>134</v>
      </c>
      <c r="M62" s="9">
        <v>912</v>
      </c>
      <c r="N62" s="29" t="s">
        <v>17</v>
      </c>
      <c r="O62" s="280" t="s">
        <v>135</v>
      </c>
      <c r="P62" s="29" t="s">
        <v>61</v>
      </c>
      <c r="Q62" s="40" t="s">
        <v>55</v>
      </c>
      <c r="R62" s="123" t="s">
        <v>128</v>
      </c>
      <c r="S62" s="29" t="s">
        <v>20</v>
      </c>
      <c r="T62" s="40" t="s">
        <v>81</v>
      </c>
      <c r="U62" s="2">
        <v>60963</v>
      </c>
      <c r="V62" s="125" t="s">
        <v>136</v>
      </c>
      <c r="W62" s="2" t="str">
        <f>_xlfn.XLOOKUP(Control[[#This Row],[No.Remedy]],Tabla2[ID de la incidencia*+],Tabla2[Usuario asignado+],"No encontrado",0)</f>
        <v>No encontrado</v>
      </c>
      <c r="X62" t="str">
        <f>_xlfn.XLOOKUP(Control[[#This Row],[No.Remedy]],Tabla2[ID de la incidencia*+],Tabla2[Estado*],"No encontrado",0)</f>
        <v>No encontrado</v>
      </c>
      <c r="Y62" s="110"/>
    </row>
    <row r="63" spans="1:25" ht="15.75" hidden="1" customHeight="1" x14ac:dyDescent="0.25">
      <c r="A63" s="9">
        <f t="shared" si="3"/>
        <v>50</v>
      </c>
      <c r="B63" s="9" t="s">
        <v>137</v>
      </c>
      <c r="C63" s="56" t="s">
        <v>138</v>
      </c>
      <c r="D63" s="56"/>
      <c r="E63" s="29">
        <v>45701</v>
      </c>
      <c r="F63" s="123">
        <v>45743</v>
      </c>
      <c r="G63" s="61">
        <f ca="1">HOY-Control[[#This Row],[Fecha Inicial]]</f>
        <v>210</v>
      </c>
      <c r="H63" s="29" t="s">
        <v>58</v>
      </c>
      <c r="I63" s="124">
        <v>0</v>
      </c>
      <c r="J63" s="124"/>
      <c r="K63" s="123">
        <v>45743</v>
      </c>
      <c r="L63" s="123" t="s">
        <v>58</v>
      </c>
      <c r="M63" s="2"/>
      <c r="N63" s="29" t="s">
        <v>75</v>
      </c>
      <c r="O63" s="2" t="s">
        <v>84</v>
      </c>
      <c r="P63" s="29" t="s">
        <v>61</v>
      </c>
      <c r="Q63" s="40" t="s">
        <v>55</v>
      </c>
      <c r="R63" s="123" t="s">
        <v>62</v>
      </c>
      <c r="S63" s="29" t="s">
        <v>18</v>
      </c>
      <c r="T63" s="40" t="s">
        <v>115</v>
      </c>
      <c r="U63" s="2" t="s">
        <v>77</v>
      </c>
      <c r="V63" s="276">
        <v>0</v>
      </c>
      <c r="W63" s="2" t="str">
        <f>_xlfn.XLOOKUP(Control[[#This Row],[No.Remedy]],Tabla2[ID de la incidencia*+],Tabla2[Usuario asignado+],"No encontrado",0)</f>
        <v>No encontrado</v>
      </c>
      <c r="X63" t="str">
        <f>_xlfn.XLOOKUP(Control[[#This Row],[No.Remedy]],Tabla2[ID de la incidencia*+],Tabla2[Estado*],"No encontrado",0)</f>
        <v>No encontrado</v>
      </c>
      <c r="Y63" s="110"/>
    </row>
    <row r="64" spans="1:25" ht="15.75" hidden="1" customHeight="1" x14ac:dyDescent="0.25">
      <c r="A64" s="9">
        <f t="shared" si="3"/>
        <v>51</v>
      </c>
      <c r="B64" s="9" t="s">
        <v>139</v>
      </c>
      <c r="C64" s="56" t="s">
        <v>140</v>
      </c>
      <c r="D64" s="56"/>
      <c r="E64" s="29">
        <v>45741</v>
      </c>
      <c r="F64" s="123">
        <v>45748</v>
      </c>
      <c r="G64" s="61">
        <f ca="1">HOY-Control[[#This Row],[Fecha Inicial]]</f>
        <v>170</v>
      </c>
      <c r="H64" s="29" t="s">
        <v>58</v>
      </c>
      <c r="I64" s="124">
        <v>0</v>
      </c>
      <c r="J64" s="124"/>
      <c r="K64" s="123">
        <v>45748</v>
      </c>
      <c r="L64" s="123" t="s">
        <v>58</v>
      </c>
      <c r="M64" s="2"/>
      <c r="N64" s="29" t="s">
        <v>75</v>
      </c>
      <c r="O64" s="2" t="s">
        <v>84</v>
      </c>
      <c r="P64" s="29" t="s">
        <v>61</v>
      </c>
      <c r="Q64" s="40" t="s">
        <v>55</v>
      </c>
      <c r="R64" s="123" t="s">
        <v>62</v>
      </c>
      <c r="S64" s="29" t="s">
        <v>18</v>
      </c>
      <c r="T64" s="40" t="s">
        <v>129</v>
      </c>
      <c r="U64" s="2" t="s">
        <v>77</v>
      </c>
      <c r="V64" s="276">
        <v>0</v>
      </c>
      <c r="W64" s="2" t="str">
        <f>_xlfn.XLOOKUP(Control[[#This Row],[No.Remedy]],Tabla2[ID de la incidencia*+],Tabla2[Usuario asignado+],"No encontrado",0)</f>
        <v>No encontrado</v>
      </c>
      <c r="X64" t="str">
        <f>_xlfn.XLOOKUP(Control[[#This Row],[No.Remedy]],Tabla2[ID de la incidencia*+],Tabla2[Estado*],"No encontrado",0)</f>
        <v>No encontrado</v>
      </c>
      <c r="Y64" s="110"/>
    </row>
    <row r="65" spans="1:25" ht="15.75" hidden="1" customHeight="1" x14ac:dyDescent="0.25">
      <c r="A65" s="9">
        <f t="shared" si="3"/>
        <v>52</v>
      </c>
      <c r="B65" s="9" t="s">
        <v>158</v>
      </c>
      <c r="C65" s="56" t="s">
        <v>159</v>
      </c>
      <c r="D65" s="56"/>
      <c r="E65" s="29">
        <v>45695</v>
      </c>
      <c r="F65" s="123">
        <v>45695</v>
      </c>
      <c r="G65" s="61">
        <f ca="1">HOY-Control[[#This Row],[Fecha Inicial]]</f>
        <v>216</v>
      </c>
      <c r="H65" s="9">
        <v>0</v>
      </c>
      <c r="I65" s="124">
        <v>0</v>
      </c>
      <c r="J65" s="124"/>
      <c r="K65" s="123">
        <v>45695</v>
      </c>
      <c r="L65" s="123" t="s">
        <v>58</v>
      </c>
      <c r="M65" s="2">
        <v>0</v>
      </c>
      <c r="N65" s="29" t="s">
        <v>75</v>
      </c>
      <c r="O65" s="2" t="s">
        <v>84</v>
      </c>
      <c r="P65" s="29" t="s">
        <v>61</v>
      </c>
      <c r="Q65" s="40" t="s">
        <v>55</v>
      </c>
      <c r="R65" s="123" t="s">
        <v>62</v>
      </c>
      <c r="S65" s="29" t="s">
        <v>18</v>
      </c>
      <c r="T65" s="40" t="s">
        <v>129</v>
      </c>
      <c r="U65" s="2" t="s">
        <v>77</v>
      </c>
      <c r="V65" s="276">
        <v>0</v>
      </c>
      <c r="W65" s="2" t="str">
        <f>_xlfn.XLOOKUP(Control[[#This Row],[No.Remedy]],Tabla2[ID de la incidencia*+],Tabla2[Usuario asignado+],"No encontrado",0)</f>
        <v>No encontrado</v>
      </c>
      <c r="X65" t="str">
        <f>_xlfn.XLOOKUP(Control[[#This Row],[No.Remedy]],Tabla2[ID de la incidencia*+],Tabla2[Estado*],"No encontrado",0)</f>
        <v>No encontrado</v>
      </c>
      <c r="Y65" s="110"/>
    </row>
    <row r="66" spans="1:25" ht="15.75" hidden="1" customHeight="1" x14ac:dyDescent="0.25">
      <c r="A66" s="9">
        <f t="shared" si="3"/>
        <v>53</v>
      </c>
      <c r="B66" s="9" t="s">
        <v>160</v>
      </c>
      <c r="C66" s="56" t="s">
        <v>161</v>
      </c>
      <c r="D66" s="56"/>
      <c r="E66" s="29">
        <v>45733</v>
      </c>
      <c r="F66" s="123">
        <v>45733</v>
      </c>
      <c r="G66" s="61">
        <f ca="1">HOY-Control[[#This Row],[Fecha Inicial]]</f>
        <v>178</v>
      </c>
      <c r="H66" s="9" t="s">
        <v>58</v>
      </c>
      <c r="I66" s="124">
        <v>0</v>
      </c>
      <c r="J66" s="124"/>
      <c r="K66" s="123">
        <v>45733</v>
      </c>
      <c r="L66" s="123" t="s">
        <v>58</v>
      </c>
      <c r="M66" s="2">
        <v>0</v>
      </c>
      <c r="N66" s="29" t="s">
        <v>75</v>
      </c>
      <c r="O66" s="2" t="s">
        <v>84</v>
      </c>
      <c r="P66" s="29" t="s">
        <v>61</v>
      </c>
      <c r="Q66" s="40" t="s">
        <v>55</v>
      </c>
      <c r="R66" s="123" t="s">
        <v>62</v>
      </c>
      <c r="S66" s="29" t="s">
        <v>18</v>
      </c>
      <c r="T66" s="40" t="s">
        <v>162</v>
      </c>
      <c r="U66" s="2" t="s">
        <v>77</v>
      </c>
      <c r="V66" s="276">
        <v>0</v>
      </c>
      <c r="W66" s="2" t="str">
        <f>_xlfn.XLOOKUP(Control[[#This Row],[No.Remedy]],Tabla2[ID de la incidencia*+],Tabla2[Usuario asignado+],"No encontrado",0)</f>
        <v>No encontrado</v>
      </c>
      <c r="X66" t="str">
        <f>_xlfn.XLOOKUP(Control[[#This Row],[No.Remedy]],Tabla2[ID de la incidencia*+],Tabla2[Estado*],"No encontrado",0)</f>
        <v>No encontrado</v>
      </c>
      <c r="Y66" s="110"/>
    </row>
    <row r="67" spans="1:25" ht="15.75" hidden="1" customHeight="1" x14ac:dyDescent="0.25">
      <c r="A67" s="9">
        <f t="shared" si="3"/>
        <v>54</v>
      </c>
      <c r="B67" s="9" t="s">
        <v>163</v>
      </c>
      <c r="C67" s="56" t="s">
        <v>164</v>
      </c>
      <c r="D67" s="56"/>
      <c r="E67" s="29">
        <v>45733</v>
      </c>
      <c r="F67" s="123">
        <v>45733</v>
      </c>
      <c r="G67" s="61">
        <f ca="1">HOY-Control[[#This Row],[Fecha Inicial]]</f>
        <v>178</v>
      </c>
      <c r="H67" s="9" t="s">
        <v>58</v>
      </c>
      <c r="I67" s="124">
        <v>0</v>
      </c>
      <c r="J67" s="124"/>
      <c r="K67" s="123">
        <v>45733</v>
      </c>
      <c r="L67" s="123" t="s">
        <v>58</v>
      </c>
      <c r="M67" s="2">
        <v>0</v>
      </c>
      <c r="N67" s="29" t="s">
        <v>75</v>
      </c>
      <c r="O67" s="2" t="s">
        <v>84</v>
      </c>
      <c r="P67" s="29" t="s">
        <v>61</v>
      </c>
      <c r="Q67" s="40" t="s">
        <v>55</v>
      </c>
      <c r="R67" s="123" t="s">
        <v>62</v>
      </c>
      <c r="S67" s="29" t="s">
        <v>18</v>
      </c>
      <c r="T67" s="40" t="s">
        <v>165</v>
      </c>
      <c r="U67" s="2" t="s">
        <v>77</v>
      </c>
      <c r="V67" s="276">
        <v>0</v>
      </c>
      <c r="W67" s="2" t="str">
        <f>_xlfn.XLOOKUP(Control[[#This Row],[No.Remedy]],Tabla2[ID de la incidencia*+],Tabla2[Usuario asignado+],"No encontrado",0)</f>
        <v>No encontrado</v>
      </c>
      <c r="X67" t="str">
        <f>_xlfn.XLOOKUP(Control[[#This Row],[No.Remedy]],Tabla2[ID de la incidencia*+],Tabla2[Estado*],"No encontrado",0)</f>
        <v>No encontrado</v>
      </c>
      <c r="Y67" s="110"/>
    </row>
    <row r="68" spans="1:25" ht="15.75" hidden="1" customHeight="1" x14ac:dyDescent="0.25">
      <c r="A68" s="9">
        <f t="shared" si="3"/>
        <v>55</v>
      </c>
      <c r="B68" s="9" t="s">
        <v>166</v>
      </c>
      <c r="C68" s="56" t="s">
        <v>167</v>
      </c>
      <c r="D68" s="56"/>
      <c r="E68" s="29">
        <v>45729</v>
      </c>
      <c r="F68" s="123">
        <v>45729</v>
      </c>
      <c r="G68" s="61">
        <f ca="1">HOY-Control[[#This Row],[Fecha Inicial]]</f>
        <v>182</v>
      </c>
      <c r="H68" s="9" t="s">
        <v>58</v>
      </c>
      <c r="I68" s="124">
        <v>0</v>
      </c>
      <c r="J68" s="124"/>
      <c r="K68" s="123">
        <v>45729</v>
      </c>
      <c r="L68" s="123" t="s">
        <v>58</v>
      </c>
      <c r="M68" s="2">
        <v>0</v>
      </c>
      <c r="N68" s="29" t="s">
        <v>75</v>
      </c>
      <c r="O68" s="2" t="s">
        <v>168</v>
      </c>
      <c r="P68" s="29" t="s">
        <v>61</v>
      </c>
      <c r="Q68" s="40" t="s">
        <v>55</v>
      </c>
      <c r="R68" s="123" t="s">
        <v>62</v>
      </c>
      <c r="S68" s="29" t="s">
        <v>18</v>
      </c>
      <c r="T68" s="40" t="s">
        <v>146</v>
      </c>
      <c r="U68" s="2" t="s">
        <v>77</v>
      </c>
      <c r="V68" s="276">
        <v>0</v>
      </c>
      <c r="W68" s="2" t="str">
        <f>_xlfn.XLOOKUP(Control[[#This Row],[No.Remedy]],Tabla2[ID de la incidencia*+],Tabla2[Usuario asignado+],"No encontrado",0)</f>
        <v>No encontrado</v>
      </c>
      <c r="X68" t="str">
        <f>_xlfn.XLOOKUP(Control[[#This Row],[No.Remedy]],Tabla2[ID de la incidencia*+],Tabla2[Estado*],"No encontrado",0)</f>
        <v>No encontrado</v>
      </c>
      <c r="Y68" s="110"/>
    </row>
    <row r="69" spans="1:25" ht="15.75" hidden="1" customHeight="1" x14ac:dyDescent="0.25">
      <c r="A69" s="9">
        <f t="shared" si="3"/>
        <v>56</v>
      </c>
      <c r="B69" s="9" t="s">
        <v>169</v>
      </c>
      <c r="C69" s="56" t="s">
        <v>170</v>
      </c>
      <c r="D69" s="56"/>
      <c r="E69" s="29">
        <v>45735</v>
      </c>
      <c r="F69" s="123"/>
      <c r="G69" s="61">
        <f ca="1">HOY-Control[[#This Row],[Fecha Inicial]]</f>
        <v>176</v>
      </c>
      <c r="H69" s="9" t="s">
        <v>13</v>
      </c>
      <c r="I69" s="124" t="s">
        <v>62</v>
      </c>
      <c r="J69" s="124"/>
      <c r="K69" s="123"/>
      <c r="L69" s="123" t="s">
        <v>58</v>
      </c>
      <c r="M69" s="2"/>
      <c r="N69" s="29" t="s">
        <v>17</v>
      </c>
      <c r="O69" s="281" t="s">
        <v>171</v>
      </c>
      <c r="P69" s="29" t="s">
        <v>61</v>
      </c>
      <c r="Q69" s="40" t="s">
        <v>55</v>
      </c>
      <c r="R69" s="123" t="s">
        <v>172</v>
      </c>
      <c r="S69" s="29" t="s">
        <v>20</v>
      </c>
      <c r="T69" s="40" t="s">
        <v>173</v>
      </c>
      <c r="U69" s="2" t="s">
        <v>174</v>
      </c>
      <c r="V69" s="276">
        <v>0</v>
      </c>
      <c r="W69" s="2" t="str">
        <f>_xlfn.XLOOKUP(Control[[#This Row],[No.Remedy]],Tabla2[ID de la incidencia*+],Tabla2[Usuario asignado+],"No encontrado",0)</f>
        <v>No encontrado</v>
      </c>
      <c r="X69" t="str">
        <f>_xlfn.XLOOKUP(Control[[#This Row],[No.Remedy]],Tabla2[ID de la incidencia*+],Tabla2[Estado*],"No encontrado",0)</f>
        <v>No encontrado</v>
      </c>
      <c r="Y69" s="110"/>
    </row>
    <row r="70" spans="1:25" ht="15.75" hidden="1" customHeight="1" x14ac:dyDescent="0.25">
      <c r="A70" s="9">
        <f t="shared" si="3"/>
        <v>57</v>
      </c>
      <c r="B70" s="9" t="s">
        <v>190</v>
      </c>
      <c r="C70" s="56" t="s">
        <v>191</v>
      </c>
      <c r="D70" s="56"/>
      <c r="E70" s="29">
        <v>45713</v>
      </c>
      <c r="F70" s="123">
        <v>45751</v>
      </c>
      <c r="G70" s="61">
        <f ca="1">HOY-Control[[#This Row],[Fecha Inicial]]</f>
        <v>198</v>
      </c>
      <c r="H70" s="9">
        <v>0</v>
      </c>
      <c r="I70" s="124">
        <v>4049600</v>
      </c>
      <c r="J70" s="124"/>
      <c r="K70" s="123">
        <v>45751</v>
      </c>
      <c r="L70" s="123"/>
      <c r="M70" s="9">
        <v>892</v>
      </c>
      <c r="N70" s="29" t="s">
        <v>17</v>
      </c>
      <c r="O70" s="2" t="s">
        <v>84</v>
      </c>
      <c r="P70" s="29" t="s">
        <v>61</v>
      </c>
      <c r="Q70" s="40" t="s">
        <v>55</v>
      </c>
      <c r="R70" s="123" t="s">
        <v>178</v>
      </c>
      <c r="S70" s="29" t="s">
        <v>20</v>
      </c>
      <c r="T70" s="40" t="s">
        <v>146</v>
      </c>
      <c r="U70" s="2" t="s">
        <v>192</v>
      </c>
      <c r="V70" s="276">
        <v>0</v>
      </c>
      <c r="W70" s="2" t="str">
        <f>_xlfn.XLOOKUP(Control[[#This Row],[No.Remedy]],Tabla2[ID de la incidencia*+],Tabla2[Usuario asignado+],"No encontrado",0)</f>
        <v>No encontrado</v>
      </c>
      <c r="X70" t="str">
        <f>_xlfn.XLOOKUP(Control[[#This Row],[No.Remedy]],Tabla2[ID de la incidencia*+],Tabla2[Estado*],"No encontrado",0)</f>
        <v>No encontrado</v>
      </c>
      <c r="Y70" s="110"/>
    </row>
    <row r="71" spans="1:25" ht="15.75" hidden="1" customHeight="1" x14ac:dyDescent="0.25">
      <c r="A71" s="9">
        <f t="shared" si="3"/>
        <v>58</v>
      </c>
      <c r="B71" s="9" t="s">
        <v>201</v>
      </c>
      <c r="C71" s="56" t="s">
        <v>202</v>
      </c>
      <c r="D71" s="56"/>
      <c r="E71" s="29">
        <v>45706</v>
      </c>
      <c r="F71" s="123">
        <v>45783</v>
      </c>
      <c r="G71" s="61">
        <f ca="1">HOY-Control[[#This Row],[Fecha Inicial]]</f>
        <v>205</v>
      </c>
      <c r="H71" s="9" t="s">
        <v>58</v>
      </c>
      <c r="I71" s="124" t="s">
        <v>62</v>
      </c>
      <c r="J71" s="124"/>
      <c r="K71" s="123" t="s">
        <v>62</v>
      </c>
      <c r="L71" s="123"/>
      <c r="M71" s="2"/>
      <c r="N71" s="29" t="s">
        <v>75</v>
      </c>
      <c r="O71" s="278" t="s">
        <v>203</v>
      </c>
      <c r="P71" s="29" t="s">
        <v>61</v>
      </c>
      <c r="Q71" s="40" t="s">
        <v>55</v>
      </c>
      <c r="R71" s="123" t="s">
        <v>204</v>
      </c>
      <c r="S71" s="29" t="s">
        <v>18</v>
      </c>
      <c r="T71" s="40" t="s">
        <v>129</v>
      </c>
      <c r="U71" s="2" t="s">
        <v>77</v>
      </c>
      <c r="V71" s="276">
        <v>0</v>
      </c>
      <c r="W71" s="2" t="str">
        <f>_xlfn.XLOOKUP(Control[[#This Row],[No.Remedy]],Tabla2[ID de la incidencia*+],Tabla2[Usuario asignado+],"No encontrado",0)</f>
        <v>No encontrado</v>
      </c>
      <c r="X71" t="str">
        <f>_xlfn.XLOOKUP(Control[[#This Row],[No.Remedy]],Tabla2[ID de la incidencia*+],Tabla2[Estado*],"No encontrado",0)</f>
        <v>No encontrado</v>
      </c>
      <c r="Y71" s="110"/>
    </row>
    <row r="72" spans="1:25" ht="15.75" hidden="1" customHeight="1" x14ac:dyDescent="0.25">
      <c r="A72" s="9">
        <f t="shared" si="3"/>
        <v>59</v>
      </c>
      <c r="B72" s="9" t="s">
        <v>205</v>
      </c>
      <c r="C72" s="56" t="s">
        <v>206</v>
      </c>
      <c r="D72" s="56"/>
      <c r="E72" s="29">
        <v>45726</v>
      </c>
      <c r="F72" s="123">
        <v>45754</v>
      </c>
      <c r="G72" s="61">
        <f ca="1">HOY-Control[[#This Row],[Fecha Inicial]]</f>
        <v>185</v>
      </c>
      <c r="H72" s="9" t="s">
        <v>207</v>
      </c>
      <c r="I72" s="124">
        <v>0</v>
      </c>
      <c r="J72" s="124"/>
      <c r="K72" s="123">
        <v>45754</v>
      </c>
      <c r="L72" s="123" t="s">
        <v>58</v>
      </c>
      <c r="M72" s="2">
        <v>0</v>
      </c>
      <c r="N72" s="29" t="s">
        <v>75</v>
      </c>
      <c r="O72" s="2" t="s">
        <v>208</v>
      </c>
      <c r="P72" s="29" t="s">
        <v>61</v>
      </c>
      <c r="Q72" s="40" t="s">
        <v>55</v>
      </c>
      <c r="R72" s="123" t="s">
        <v>209</v>
      </c>
      <c r="S72" s="29" t="s">
        <v>18</v>
      </c>
      <c r="T72" s="40" t="s">
        <v>210</v>
      </c>
      <c r="U72" s="2" t="s">
        <v>77</v>
      </c>
      <c r="V72" s="276">
        <v>0</v>
      </c>
      <c r="W72" s="2" t="str">
        <f>_xlfn.XLOOKUP(Control[[#This Row],[No.Remedy]],Tabla2[ID de la incidencia*+],Tabla2[Usuario asignado+],"No encontrado",0)</f>
        <v>No encontrado</v>
      </c>
      <c r="X72" t="str">
        <f>_xlfn.XLOOKUP(Control[[#This Row],[No.Remedy]],Tabla2[ID de la incidencia*+],Tabla2[Estado*],"No encontrado",0)</f>
        <v>No encontrado</v>
      </c>
      <c r="Y72" s="110"/>
    </row>
    <row r="73" spans="1:25" ht="15.75" hidden="1" customHeight="1" x14ac:dyDescent="0.25">
      <c r="A73" s="9">
        <f t="shared" si="3"/>
        <v>60</v>
      </c>
      <c r="B73" s="9" t="s">
        <v>241</v>
      </c>
      <c r="C73" s="56" t="s">
        <v>242</v>
      </c>
      <c r="D73" s="56"/>
      <c r="E73" s="29">
        <v>45357</v>
      </c>
      <c r="F73" s="123">
        <v>45833</v>
      </c>
      <c r="G73" s="61">
        <f ca="1">HOY-Control[[#This Row],[Fecha Inicial]]</f>
        <v>554</v>
      </c>
      <c r="H73" s="9">
        <v>0</v>
      </c>
      <c r="I73" s="124">
        <v>0</v>
      </c>
      <c r="J73" s="124"/>
      <c r="K73" s="123"/>
      <c r="L73" s="123"/>
      <c r="M73" s="2"/>
      <c r="N73" s="29" t="s">
        <v>17</v>
      </c>
      <c r="O73" s="278" t="s">
        <v>243</v>
      </c>
      <c r="P73" s="29" t="s">
        <v>61</v>
      </c>
      <c r="Q73" s="40" t="s">
        <v>55</v>
      </c>
      <c r="R73" s="123" t="s">
        <v>244</v>
      </c>
      <c r="S73" s="29" t="s">
        <v>22</v>
      </c>
      <c r="T73" s="40" t="s">
        <v>165</v>
      </c>
      <c r="U73" s="2">
        <v>125923</v>
      </c>
      <c r="V73" s="125" t="s">
        <v>245</v>
      </c>
      <c r="W73" s="2" t="str">
        <f>_xlfn.XLOOKUP(Control[[#This Row],[No.Remedy]],Tabla2[ID de la incidencia*+],Tabla2[Usuario asignado+],"No encontrado",0)</f>
        <v>No encontrado</v>
      </c>
      <c r="X73" t="str">
        <f>_xlfn.XLOOKUP(Control[[#This Row],[No.Remedy]],Tabla2[ID de la incidencia*+],Tabla2[Estado*],"No encontrado",0)</f>
        <v>No encontrado</v>
      </c>
      <c r="Y73" s="110"/>
    </row>
    <row r="74" spans="1:25" ht="15.75" hidden="1" customHeight="1" x14ac:dyDescent="0.25">
      <c r="A74" s="9">
        <f t="shared" si="3"/>
        <v>61</v>
      </c>
      <c r="B74" s="9" t="s">
        <v>246</v>
      </c>
      <c r="C74" s="56" t="s">
        <v>247</v>
      </c>
      <c r="D74" s="56"/>
      <c r="E74" s="29">
        <v>45700</v>
      </c>
      <c r="F74" s="123"/>
      <c r="G74" s="61">
        <f ca="1">HOY-Control[[#This Row],[Fecha Inicial]]</f>
        <v>211</v>
      </c>
      <c r="H74" s="9" t="s">
        <v>8</v>
      </c>
      <c r="I74" s="124">
        <v>0</v>
      </c>
      <c r="J74" s="124"/>
      <c r="K74" s="123"/>
      <c r="L74" s="123"/>
      <c r="M74" s="2"/>
      <c r="N74" s="29" t="s">
        <v>17</v>
      </c>
      <c r="O74" s="278" t="s">
        <v>248</v>
      </c>
      <c r="P74" s="29" t="s">
        <v>61</v>
      </c>
      <c r="Q74" s="40" t="s">
        <v>55</v>
      </c>
      <c r="R74" s="123" t="s">
        <v>178</v>
      </c>
      <c r="S74" s="29" t="s">
        <v>20</v>
      </c>
      <c r="T74" s="40" t="s">
        <v>146</v>
      </c>
      <c r="U74" s="2" t="s">
        <v>249</v>
      </c>
      <c r="V74" s="276">
        <v>0</v>
      </c>
      <c r="W74" s="2" t="str">
        <f>_xlfn.XLOOKUP(Control[[#This Row],[No.Remedy]],Tabla2[ID de la incidencia*+],Tabla2[Usuario asignado+],"No encontrado",0)</f>
        <v>No encontrado</v>
      </c>
      <c r="X74" t="str">
        <f>_xlfn.XLOOKUP(Control[[#This Row],[No.Remedy]],Tabla2[ID de la incidencia*+],Tabla2[Estado*],"No encontrado",0)</f>
        <v>No encontrado</v>
      </c>
      <c r="Y74" s="110"/>
    </row>
    <row r="75" spans="1:25" ht="15.75" hidden="1" customHeight="1" x14ac:dyDescent="0.25">
      <c r="A75" s="9">
        <f t="shared" si="3"/>
        <v>62</v>
      </c>
      <c r="B75" s="9" t="s">
        <v>270</v>
      </c>
      <c r="C75" s="56" t="s">
        <v>271</v>
      </c>
      <c r="D75" s="56"/>
      <c r="E75" s="29">
        <v>45754</v>
      </c>
      <c r="F75" s="123"/>
      <c r="G75" s="61">
        <f ca="1">HOY-Control[[#This Row],[Fecha Inicial]]</f>
        <v>157</v>
      </c>
      <c r="H75" s="29" t="s">
        <v>58</v>
      </c>
      <c r="I75" s="124">
        <v>0</v>
      </c>
      <c r="J75" s="124"/>
      <c r="K75" s="123"/>
      <c r="L75" s="123" t="s">
        <v>58</v>
      </c>
      <c r="M75" s="9">
        <v>915</v>
      </c>
      <c r="N75" s="29" t="s">
        <v>17</v>
      </c>
      <c r="O75" s="278" t="s">
        <v>272</v>
      </c>
      <c r="P75" s="29" t="s">
        <v>61</v>
      </c>
      <c r="Q75" s="40" t="s">
        <v>55</v>
      </c>
      <c r="R75" s="123" t="s">
        <v>178</v>
      </c>
      <c r="S75" s="29" t="s">
        <v>20</v>
      </c>
      <c r="T75" s="40" t="s">
        <v>146</v>
      </c>
      <c r="U75" s="2">
        <v>60965</v>
      </c>
      <c r="V75" s="276">
        <v>0</v>
      </c>
      <c r="W75" s="2" t="str">
        <f>_xlfn.XLOOKUP(Control[[#This Row],[No.Remedy]],Tabla2[ID de la incidencia*+],Tabla2[Usuario asignado+],"No encontrado",0)</f>
        <v>No encontrado</v>
      </c>
      <c r="X75" t="str">
        <f>_xlfn.XLOOKUP(Control[[#This Row],[No.Remedy]],Tabla2[ID de la incidencia*+],Tabla2[Estado*],"No encontrado",0)</f>
        <v>No encontrado</v>
      </c>
      <c r="Y75" s="110"/>
    </row>
    <row r="76" spans="1:25" ht="15.75" hidden="1" customHeight="1" x14ac:dyDescent="0.25">
      <c r="A76" s="9">
        <f t="shared" si="3"/>
        <v>63</v>
      </c>
      <c r="B76" s="9" t="s">
        <v>299</v>
      </c>
      <c r="C76" s="56" t="s">
        <v>300</v>
      </c>
      <c r="D76" s="56"/>
      <c r="E76" s="29">
        <v>45757</v>
      </c>
      <c r="F76" s="123"/>
      <c r="G76" s="61">
        <f ca="1">HOY-Control[[#This Row],[Fecha Inicial]]</f>
        <v>154</v>
      </c>
      <c r="H76" s="29"/>
      <c r="I76" s="124"/>
      <c r="J76" s="124"/>
      <c r="K76" s="123"/>
      <c r="L76" s="123"/>
      <c r="M76" s="2"/>
      <c r="N76" s="29" t="s">
        <v>75</v>
      </c>
      <c r="O76" s="282" t="s">
        <v>301</v>
      </c>
      <c r="P76" s="29" t="s">
        <v>61</v>
      </c>
      <c r="Q76" s="40" t="s">
        <v>55</v>
      </c>
      <c r="R76" s="123" t="s">
        <v>293</v>
      </c>
      <c r="S76" s="29" t="s">
        <v>18</v>
      </c>
      <c r="T76" s="40" t="s">
        <v>115</v>
      </c>
      <c r="U76" s="2"/>
      <c r="V76" s="276">
        <v>0</v>
      </c>
      <c r="W76" s="2" t="str">
        <f>_xlfn.XLOOKUP(Control[[#This Row],[No.Remedy]],Tabla2[ID de la incidencia*+],Tabla2[Usuario asignado+],"No encontrado",0)</f>
        <v>No encontrado</v>
      </c>
      <c r="X76" t="str">
        <f>_xlfn.XLOOKUP(Control[[#This Row],[No.Remedy]],Tabla2[ID de la incidencia*+],Tabla2[Estado*],"No encontrado",0)</f>
        <v>No encontrado</v>
      </c>
      <c r="Y76" s="110"/>
    </row>
    <row r="77" spans="1:25" ht="15.75" hidden="1" customHeight="1" x14ac:dyDescent="0.25">
      <c r="A77" s="9">
        <f t="shared" si="3"/>
        <v>64</v>
      </c>
      <c r="B77" s="9" t="s">
        <v>302</v>
      </c>
      <c r="C77" s="56" t="s">
        <v>303</v>
      </c>
      <c r="D77" s="56"/>
      <c r="E77" s="29">
        <v>45770</v>
      </c>
      <c r="F77" s="123"/>
      <c r="G77" s="61">
        <f ca="1">HOY-Control[[#This Row],[Fecha Inicial]]</f>
        <v>141</v>
      </c>
      <c r="H77" s="29"/>
      <c r="I77" s="124"/>
      <c r="J77" s="124"/>
      <c r="K77" s="123"/>
      <c r="L77" s="123"/>
      <c r="M77" s="2"/>
      <c r="N77" s="29" t="s">
        <v>75</v>
      </c>
      <c r="O77" s="282" t="s">
        <v>304</v>
      </c>
      <c r="P77" s="29" t="s">
        <v>61</v>
      </c>
      <c r="Q77" s="40" t="s">
        <v>55</v>
      </c>
      <c r="R77" s="123" t="s">
        <v>293</v>
      </c>
      <c r="S77" s="29" t="s">
        <v>18</v>
      </c>
      <c r="T77" s="40" t="s">
        <v>115</v>
      </c>
      <c r="U77" s="2"/>
      <c r="V77" s="276">
        <v>0</v>
      </c>
      <c r="W77" s="2" t="str">
        <f>_xlfn.XLOOKUP(Control[[#This Row],[No.Remedy]],Tabla2[ID de la incidencia*+],Tabla2[Usuario asignado+],"No encontrado",0)</f>
        <v>No encontrado</v>
      </c>
      <c r="X77" t="str">
        <f>_xlfn.XLOOKUP(Control[[#This Row],[No.Remedy]],Tabla2[ID de la incidencia*+],Tabla2[Estado*],"No encontrado",0)</f>
        <v>No encontrado</v>
      </c>
      <c r="Y77" s="110"/>
    </row>
    <row r="78" spans="1:25" ht="15.75" hidden="1" customHeight="1" x14ac:dyDescent="0.25">
      <c r="A78" s="9">
        <f t="shared" si="3"/>
        <v>65</v>
      </c>
      <c r="B78" s="9" t="s">
        <v>305</v>
      </c>
      <c r="C78" s="56" t="s">
        <v>306</v>
      </c>
      <c r="D78" s="56"/>
      <c r="E78" s="29">
        <v>45770</v>
      </c>
      <c r="F78" s="123"/>
      <c r="G78" s="61">
        <f ca="1">HOY-Control[[#This Row],[Fecha Inicial]]</f>
        <v>141</v>
      </c>
      <c r="H78" s="29"/>
      <c r="I78" s="124"/>
      <c r="J78" s="124"/>
      <c r="K78" s="123"/>
      <c r="L78" s="123"/>
      <c r="M78" s="2"/>
      <c r="N78" s="29" t="s">
        <v>75</v>
      </c>
      <c r="O78" s="277" t="s">
        <v>307</v>
      </c>
      <c r="P78" s="29" t="s">
        <v>61</v>
      </c>
      <c r="Q78" s="40" t="s">
        <v>55</v>
      </c>
      <c r="R78" s="123" t="s">
        <v>293</v>
      </c>
      <c r="S78" s="29" t="s">
        <v>18</v>
      </c>
      <c r="T78" s="40" t="s">
        <v>115</v>
      </c>
      <c r="U78" s="2"/>
      <c r="V78" s="276">
        <v>0</v>
      </c>
      <c r="W78" s="2" t="str">
        <f>_xlfn.XLOOKUP(Control[[#This Row],[No.Remedy]],Tabla2[ID de la incidencia*+],Tabla2[Usuario asignado+],"No encontrado",0)</f>
        <v>No encontrado</v>
      </c>
      <c r="X78" t="str">
        <f>_xlfn.XLOOKUP(Control[[#This Row],[No.Remedy]],Tabla2[ID de la incidencia*+],Tabla2[Estado*],"No encontrado",0)</f>
        <v>No encontrado</v>
      </c>
      <c r="Y78" s="110"/>
    </row>
    <row r="79" spans="1:25" ht="15.75" hidden="1" customHeight="1" x14ac:dyDescent="0.25">
      <c r="A79" s="9">
        <f t="shared" si="3"/>
        <v>66</v>
      </c>
      <c r="B79" s="9" t="s">
        <v>308</v>
      </c>
      <c r="C79" s="56" t="s">
        <v>309</v>
      </c>
      <c r="D79" s="56"/>
      <c r="E79" s="29">
        <v>45771</v>
      </c>
      <c r="F79" s="123">
        <v>45771</v>
      </c>
      <c r="G79" s="61">
        <f ca="1">HOY-Control[[#This Row],[Fecha Inicial]]</f>
        <v>140</v>
      </c>
      <c r="H79" s="29" t="s">
        <v>58</v>
      </c>
      <c r="I79" s="124">
        <v>0</v>
      </c>
      <c r="J79" s="124"/>
      <c r="K79" s="123">
        <v>45771</v>
      </c>
      <c r="L79" s="123" t="s">
        <v>58</v>
      </c>
      <c r="M79" s="2">
        <v>0</v>
      </c>
      <c r="N79" s="29" t="s">
        <v>75</v>
      </c>
      <c r="O79" s="2" t="s">
        <v>310</v>
      </c>
      <c r="P79" s="29" t="s">
        <v>61</v>
      </c>
      <c r="Q79" s="40" t="s">
        <v>55</v>
      </c>
      <c r="R79" s="123" t="s">
        <v>178</v>
      </c>
      <c r="S79" s="29" t="s">
        <v>18</v>
      </c>
      <c r="T79" s="40" t="s">
        <v>146</v>
      </c>
      <c r="U79" s="2"/>
      <c r="V79" s="276">
        <v>0</v>
      </c>
      <c r="W79" s="2" t="str">
        <f>_xlfn.XLOOKUP(Control[[#This Row],[No.Remedy]],Tabla2[ID de la incidencia*+],Tabla2[Usuario asignado+],"No encontrado",0)</f>
        <v>No encontrado</v>
      </c>
      <c r="X79" t="str">
        <f>_xlfn.XLOOKUP(Control[[#This Row],[No.Remedy]],Tabla2[ID de la incidencia*+],Tabla2[Estado*],"No encontrado",0)</f>
        <v>No encontrado</v>
      </c>
      <c r="Y79" s="110"/>
    </row>
    <row r="80" spans="1:25" ht="15.75" hidden="1" customHeight="1" x14ac:dyDescent="0.25">
      <c r="A80" s="9">
        <f t="shared" si="3"/>
        <v>67</v>
      </c>
      <c r="B80" s="9" t="s">
        <v>311</v>
      </c>
      <c r="C80" s="56" t="s">
        <v>312</v>
      </c>
      <c r="D80" s="56"/>
      <c r="E80" s="29">
        <v>45772</v>
      </c>
      <c r="F80" s="123">
        <v>45772</v>
      </c>
      <c r="G80" s="61">
        <f ca="1">HOY-Control[[#This Row],[Fecha Inicial]]</f>
        <v>139</v>
      </c>
      <c r="H80" s="29" t="s">
        <v>58</v>
      </c>
      <c r="I80" s="124">
        <v>0</v>
      </c>
      <c r="J80" s="124"/>
      <c r="K80" s="123">
        <v>45772</v>
      </c>
      <c r="L80" s="123" t="s">
        <v>58</v>
      </c>
      <c r="M80" s="2">
        <v>0</v>
      </c>
      <c r="N80" s="29" t="s">
        <v>75</v>
      </c>
      <c r="O80" s="2" t="s">
        <v>313</v>
      </c>
      <c r="P80" s="29" t="s">
        <v>61</v>
      </c>
      <c r="Q80" s="40" t="s">
        <v>55</v>
      </c>
      <c r="R80" s="123" t="s">
        <v>178</v>
      </c>
      <c r="S80" s="29" t="s">
        <v>18</v>
      </c>
      <c r="T80" s="40" t="s">
        <v>146</v>
      </c>
      <c r="U80" s="2"/>
      <c r="V80" s="276">
        <v>0</v>
      </c>
      <c r="W80" s="2" t="str">
        <f>_xlfn.XLOOKUP(Control[[#This Row],[No.Remedy]],Tabla2[ID de la incidencia*+],Tabla2[Usuario asignado+],"No encontrado",0)</f>
        <v>No encontrado</v>
      </c>
      <c r="X80" t="str">
        <f>_xlfn.XLOOKUP(Control[[#This Row],[No.Remedy]],Tabla2[ID de la incidencia*+],Tabla2[Estado*],"No encontrado",0)</f>
        <v>No encontrado</v>
      </c>
      <c r="Y80" s="110"/>
    </row>
    <row r="81" spans="1:27" ht="15.75" customHeight="1" x14ac:dyDescent="0.25">
      <c r="A81" s="9">
        <f t="shared" si="3"/>
        <v>68</v>
      </c>
      <c r="B81" s="9" t="s">
        <v>1200</v>
      </c>
      <c r="C81" s="56" t="s">
        <v>1213</v>
      </c>
      <c r="D81" s="56" t="s">
        <v>1215</v>
      </c>
      <c r="E81" s="29">
        <v>45902</v>
      </c>
      <c r="F81" s="123"/>
      <c r="G81" s="61">
        <f ca="1">HOY-Control[[#This Row],[Fecha Inicial]]</f>
        <v>9</v>
      </c>
      <c r="H81" s="29"/>
      <c r="I81" s="124"/>
      <c r="J81" s="124"/>
      <c r="K81" s="123"/>
      <c r="L81" s="123"/>
      <c r="M81" s="2"/>
      <c r="N81" s="29" t="s">
        <v>75</v>
      </c>
      <c r="O81" s="2" t="s">
        <v>1276</v>
      </c>
      <c r="P81" s="29" t="s">
        <v>68</v>
      </c>
      <c r="Q81" s="40" t="s">
        <v>23</v>
      </c>
      <c r="R81" s="40" t="s">
        <v>1214</v>
      </c>
      <c r="S81" s="29" t="s">
        <v>18</v>
      </c>
      <c r="T81" s="40" t="s">
        <v>115</v>
      </c>
      <c r="U81" s="9"/>
      <c r="V81" s="126" t="s">
        <v>1204</v>
      </c>
      <c r="W81" s="56" t="str">
        <f>_xlfn.XLOOKUP(Control[[#This Row],[No.Remedy]],Tabla2[ID de la incidencia*+],Tabla2[Usuario asignado+],"No encontrado",0)</f>
        <v>Luis Enrique Rojas Villota</v>
      </c>
      <c r="X81" t="str">
        <f>_xlfn.XLOOKUP(Control[[#This Row],[No.Remedy]],Tabla2[ID de la incidencia*+],Tabla2[Estado*],"No encontrado",0)</f>
        <v>En curso</v>
      </c>
      <c r="Y81" s="110"/>
    </row>
    <row r="82" spans="1:27" ht="15.75" hidden="1" customHeight="1" x14ac:dyDescent="0.25">
      <c r="A82" s="9">
        <f t="shared" si="3"/>
        <v>69</v>
      </c>
      <c r="B82" s="9" t="s">
        <v>375</v>
      </c>
      <c r="C82" s="56" t="s">
        <v>376</v>
      </c>
      <c r="D82" s="56"/>
      <c r="E82" s="29">
        <v>45814</v>
      </c>
      <c r="F82" s="123">
        <v>45836</v>
      </c>
      <c r="G82" s="61">
        <f ca="1">HOY-Control[[#This Row],[Fecha Inicial]]</f>
        <v>97</v>
      </c>
      <c r="H82" s="29"/>
      <c r="I82" s="124"/>
      <c r="J82" s="124"/>
      <c r="K82" s="123"/>
      <c r="L82" s="123"/>
      <c r="M82" s="2"/>
      <c r="N82" s="29" t="s">
        <v>75</v>
      </c>
      <c r="O82" s="56" t="s">
        <v>377</v>
      </c>
      <c r="P82" s="29" t="s">
        <v>61</v>
      </c>
      <c r="Q82" s="40" t="s">
        <v>55</v>
      </c>
      <c r="R82" s="123" t="s">
        <v>178</v>
      </c>
      <c r="S82" s="29" t="s">
        <v>18</v>
      </c>
      <c r="T82" s="40" t="s">
        <v>378</v>
      </c>
      <c r="U82" s="2"/>
      <c r="V82" s="126" t="s">
        <v>379</v>
      </c>
      <c r="W82" s="2" t="str">
        <f>_xlfn.XLOOKUP(Control[[#This Row],[No.Remedy]],Tabla2[ID de la incidencia*+],Tabla2[Usuario asignado+],"No encontrado",0)</f>
        <v>No encontrado</v>
      </c>
      <c r="X82" t="str">
        <f>_xlfn.XLOOKUP(Control[[#This Row],[No.Remedy]],Tabla2[ID de la incidencia*+],Tabla2[Estado*],"No encontrado",0)</f>
        <v>No encontrado</v>
      </c>
      <c r="Y82" s="110"/>
    </row>
    <row r="83" spans="1:27" ht="15.75" hidden="1" customHeight="1" x14ac:dyDescent="0.25">
      <c r="A83" s="112">
        <f t="shared" si="3"/>
        <v>70</v>
      </c>
      <c r="B83" s="112" t="s">
        <v>387</v>
      </c>
      <c r="C83" s="113" t="s">
        <v>388</v>
      </c>
      <c r="D83" s="113"/>
      <c r="E83" s="29">
        <v>45779</v>
      </c>
      <c r="F83" s="283">
        <v>45828</v>
      </c>
      <c r="G83" s="115">
        <f ca="1">HOY-Control[[#This Row],[Fecha Inicial]]</f>
        <v>132</v>
      </c>
      <c r="H83" s="114"/>
      <c r="I83" s="131"/>
      <c r="J83" s="131"/>
      <c r="K83" s="283"/>
      <c r="L83" s="114"/>
      <c r="M83" s="284"/>
      <c r="N83" s="114" t="s">
        <v>75</v>
      </c>
      <c r="O83" s="113" t="s">
        <v>389</v>
      </c>
      <c r="P83" s="114" t="s">
        <v>61</v>
      </c>
      <c r="Q83" s="116" t="s">
        <v>55</v>
      </c>
      <c r="R83" s="283" t="s">
        <v>293</v>
      </c>
      <c r="S83" s="114" t="s">
        <v>18</v>
      </c>
      <c r="T83" s="116" t="s">
        <v>115</v>
      </c>
      <c r="U83" s="284"/>
      <c r="V83" s="132" t="s">
        <v>390</v>
      </c>
      <c r="W83" s="284" t="str">
        <f>_xlfn.XLOOKUP(Control[[#This Row],[No.Remedy]],Tabla2[ID de la incidencia*+],Tabla2[Usuario asignado+],"No encontrado",0)</f>
        <v>No encontrado</v>
      </c>
      <c r="X83" t="str">
        <f>_xlfn.XLOOKUP(Control[[#This Row],[No.Remedy]],Tabla2[ID de la incidencia*+],Tabla2[Estado*],"No encontrado",0)</f>
        <v>No encontrado</v>
      </c>
      <c r="Y83" s="110"/>
    </row>
    <row r="84" spans="1:27" ht="15.75" hidden="1" customHeight="1" x14ac:dyDescent="0.25">
      <c r="A84" s="31">
        <f t="shared" si="3"/>
        <v>71</v>
      </c>
      <c r="B84" s="31" t="s">
        <v>328</v>
      </c>
      <c r="C84" s="34" t="s">
        <v>329</v>
      </c>
      <c r="D84" s="34"/>
      <c r="E84" s="32">
        <v>45639.642928240741</v>
      </c>
      <c r="F84" s="32">
        <v>45736</v>
      </c>
      <c r="G84" s="33">
        <f ca="1">HOY-Control[[#This Row],[Fecha Inicial]]</f>
        <v>271.35707175925927</v>
      </c>
      <c r="H84" s="31" t="s">
        <v>227</v>
      </c>
      <c r="I84" s="30">
        <v>6454050</v>
      </c>
      <c r="J84" s="30">
        <v>2115</v>
      </c>
      <c r="K84" s="32">
        <v>45737</v>
      </c>
      <c r="L84" s="32"/>
      <c r="M84" s="31">
        <v>895</v>
      </c>
      <c r="N84" s="32" t="s">
        <v>17</v>
      </c>
      <c r="O84" s="69" t="s">
        <v>330</v>
      </c>
      <c r="P84" s="32" t="s">
        <v>61</v>
      </c>
      <c r="Q84" s="41" t="s">
        <v>55</v>
      </c>
      <c r="R84" s="32" t="s">
        <v>128</v>
      </c>
      <c r="S84" s="32" t="s">
        <v>20</v>
      </c>
      <c r="T84" s="41" t="s">
        <v>129</v>
      </c>
      <c r="U84" s="31" t="s">
        <v>331</v>
      </c>
      <c r="V84" s="67">
        <v>0</v>
      </c>
      <c r="W84" s="31" t="str">
        <f>_xlfn.XLOOKUP(Control[[#This Row],[No.Remedy]],Tabla2[ID de la incidencia*+],Tabla2[Usuario asignado+],"No encontrado",0)</f>
        <v>No encontrado</v>
      </c>
      <c r="X84" t="str">
        <f>_xlfn.XLOOKUP(Control[[#This Row],[No.Remedy]],Tabla2[ID de la incidencia*+],Tabla2[Estado*],"No encontrado",0)</f>
        <v>No encontrado</v>
      </c>
      <c r="Y84" s="110"/>
    </row>
    <row r="85" spans="1:27" ht="15.75" hidden="1" customHeight="1" x14ac:dyDescent="0.25">
      <c r="A85" s="31">
        <f t="shared" ref="A85:A113" si="4">+ROW()-13</f>
        <v>72</v>
      </c>
      <c r="B85" s="31" t="s">
        <v>314</v>
      </c>
      <c r="C85" s="34" t="s">
        <v>315</v>
      </c>
      <c r="D85" s="34" t="s">
        <v>1006</v>
      </c>
      <c r="E85" s="32">
        <v>45772</v>
      </c>
      <c r="F85" s="4">
        <v>45870</v>
      </c>
      <c r="G85" s="33">
        <f ca="1">HOY-Control[[#This Row],[Fecha Inicial]]</f>
        <v>139</v>
      </c>
      <c r="H85" s="32"/>
      <c r="I85" s="3"/>
      <c r="J85" s="3"/>
      <c r="K85" s="4"/>
      <c r="L85" s="32" t="s">
        <v>134</v>
      </c>
      <c r="M85" s="31" t="s">
        <v>946</v>
      </c>
      <c r="N85" s="32" t="s">
        <v>17</v>
      </c>
      <c r="O85" s="70" t="s">
        <v>965</v>
      </c>
      <c r="P85" s="32" t="s">
        <v>61</v>
      </c>
      <c r="Q85" s="41" t="s">
        <v>55</v>
      </c>
      <c r="R85" s="41" t="s">
        <v>283</v>
      </c>
      <c r="S85" s="32" t="s">
        <v>20</v>
      </c>
      <c r="T85" s="40" t="s">
        <v>1027</v>
      </c>
      <c r="U85" s="31">
        <v>60967</v>
      </c>
      <c r="V85" s="88" t="s">
        <v>317</v>
      </c>
      <c r="W85" s="252" t="str">
        <f>_xlfn.XLOOKUP(Control[[#This Row],[No.Remedy]],Tabla2[ID de la incidencia*+],Tabla2[Usuario asignado+],"No encontrado",0)</f>
        <v>No encontrado</v>
      </c>
      <c r="X85" t="str">
        <f>_xlfn.XLOOKUP(Control[[#This Row],[No.Remedy]],Tabla2[ID de la incidencia*+],Tabla2[Estado*],"No encontrado",0)</f>
        <v>No encontrado</v>
      </c>
      <c r="Y85" s="111"/>
      <c r="AA85" s="151">
        <v>45879</v>
      </c>
    </row>
    <row r="86" spans="1:27" ht="15.75" hidden="1" customHeight="1" x14ac:dyDescent="0.25">
      <c r="A86" s="9">
        <f t="shared" si="4"/>
        <v>73</v>
      </c>
      <c r="B86" s="9" t="s">
        <v>1019</v>
      </c>
      <c r="C86" s="56" t="s">
        <v>1022</v>
      </c>
      <c r="D86" s="56" t="s">
        <v>1021</v>
      </c>
      <c r="E86" s="285">
        <v>45867</v>
      </c>
      <c r="F86" s="123">
        <v>45873</v>
      </c>
      <c r="G86" s="61">
        <f ca="1">HOY-Control[[#This Row],[Fecha Inicial]]</f>
        <v>44</v>
      </c>
      <c r="H86" s="29" t="s">
        <v>8</v>
      </c>
      <c r="I86" s="124"/>
      <c r="J86" s="124"/>
      <c r="K86" s="123"/>
      <c r="L86" s="123"/>
      <c r="M86" s="2"/>
      <c r="N86" s="29" t="s">
        <v>17</v>
      </c>
      <c r="O86" s="2" t="s">
        <v>1026</v>
      </c>
      <c r="P86" s="29" t="s">
        <v>61</v>
      </c>
      <c r="Q86" s="40" t="s">
        <v>55</v>
      </c>
      <c r="R86" s="40" t="s">
        <v>283</v>
      </c>
      <c r="S86" s="29" t="s">
        <v>20</v>
      </c>
      <c r="T86" s="40" t="s">
        <v>1027</v>
      </c>
      <c r="U86" s="9">
        <v>60988</v>
      </c>
      <c r="V86" s="286" t="s">
        <v>1020</v>
      </c>
      <c r="W86" s="2" t="str">
        <f>_xlfn.XLOOKUP(Control[[#This Row],[No.Remedy]],Tabla2[ID de la incidencia*+],Tabla2[Usuario asignado+],"No encontrado",0)</f>
        <v>No encontrado</v>
      </c>
      <c r="X86" t="str">
        <f>_xlfn.XLOOKUP(Control[[#This Row],[No.Remedy]],Tabla2[ID de la incidencia*+],Tabla2[Estado*],"No encontrado",0)</f>
        <v>No encontrado</v>
      </c>
      <c r="Y86" s="110"/>
      <c r="AA86" s="151">
        <v>45991</v>
      </c>
    </row>
    <row r="87" spans="1:27" ht="15.75" hidden="1" customHeight="1" x14ac:dyDescent="0.25">
      <c r="A87" s="9">
        <f t="shared" si="4"/>
        <v>74</v>
      </c>
      <c r="B87" s="9" t="s">
        <v>1141</v>
      </c>
      <c r="C87" s="56" t="s">
        <v>1148</v>
      </c>
      <c r="D87" s="56"/>
      <c r="E87" s="29">
        <v>45884</v>
      </c>
      <c r="F87" s="123"/>
      <c r="G87" s="61">
        <f ca="1">HOY-Control[[#This Row],[Fecha Inicial]]</f>
        <v>27</v>
      </c>
      <c r="H87" s="29"/>
      <c r="I87" s="124"/>
      <c r="J87" s="124"/>
      <c r="K87" s="123"/>
      <c r="L87" s="123" t="s">
        <v>1151</v>
      </c>
      <c r="M87" s="2"/>
      <c r="N87" s="29" t="s">
        <v>75</v>
      </c>
      <c r="O87" s="2" t="s">
        <v>1153</v>
      </c>
      <c r="P87" s="29" t="s">
        <v>61</v>
      </c>
      <c r="Q87" s="40" t="s">
        <v>55</v>
      </c>
      <c r="R87" s="123"/>
      <c r="S87" s="29" t="s">
        <v>18</v>
      </c>
      <c r="T87" s="40"/>
      <c r="U87" s="2"/>
      <c r="V87" s="130" t="s">
        <v>1142</v>
      </c>
      <c r="W87" s="2" t="str">
        <f>_xlfn.XLOOKUP(Control[[#This Row],[No.Remedy]],Tabla2[ID de la incidencia*+],Tabla2[Usuario asignado+],"No encontrado",0)</f>
        <v>No encontrado</v>
      </c>
      <c r="X87" t="str">
        <f>_xlfn.XLOOKUP(Control[[#This Row],[No.Remedy]],Tabla2[ID de la incidencia*+],Tabla2[Estado*],"No encontrado",0)</f>
        <v>No encontrado</v>
      </c>
      <c r="Y87" s="110"/>
    </row>
    <row r="88" spans="1:27" ht="15.75" customHeight="1" x14ac:dyDescent="0.25">
      <c r="A88" s="31">
        <f t="shared" si="4"/>
        <v>75</v>
      </c>
      <c r="B88" s="31" t="s">
        <v>65</v>
      </c>
      <c r="C88" s="34" t="s">
        <v>66</v>
      </c>
      <c r="D88" s="34" t="s">
        <v>1056</v>
      </c>
      <c r="E88" s="4">
        <v>45828</v>
      </c>
      <c r="F88" s="32"/>
      <c r="G88" s="33">
        <f ca="1">HOY-Control[[#This Row],[Fecha Inicial]]</f>
        <v>83</v>
      </c>
      <c r="H88" s="32"/>
      <c r="I88" s="30"/>
      <c r="J88" s="30"/>
      <c r="K88" s="32"/>
      <c r="L88" s="32"/>
      <c r="M88" s="31"/>
      <c r="N88" s="32" t="s">
        <v>17</v>
      </c>
      <c r="O88" s="34" t="s">
        <v>1163</v>
      </c>
      <c r="P88" s="32" t="s">
        <v>68</v>
      </c>
      <c r="Q88" s="41" t="s">
        <v>23</v>
      </c>
      <c r="R88" s="41" t="s">
        <v>69</v>
      </c>
      <c r="S88" s="32" t="s">
        <v>22</v>
      </c>
      <c r="T88" s="41" t="s">
        <v>70</v>
      </c>
      <c r="U88" s="31">
        <v>145910</v>
      </c>
      <c r="V88" s="80" t="s">
        <v>71</v>
      </c>
      <c r="W88" s="56" t="str">
        <f>_xlfn.XLOOKUP(Control[[#This Row],[No.Remedy]],Tabla2[ID de la incidencia*+],Tabla2[Usuario asignado+],"No encontrado",0)</f>
        <v>Luis Enrique Rojas Villota</v>
      </c>
      <c r="X88" t="str">
        <f>_xlfn.XLOOKUP(Control[[#This Row],[No.Remedy]],Tabla2[ID de la incidencia*+],Tabla2[Estado*],"No encontrado",0)</f>
        <v>En curso</v>
      </c>
      <c r="Y88" s="110">
        <v>1</v>
      </c>
      <c r="AA88" s="151">
        <v>45991</v>
      </c>
    </row>
    <row r="89" spans="1:27" ht="15.75" customHeight="1" x14ac:dyDescent="0.25">
      <c r="A89" s="9">
        <f t="shared" si="4"/>
        <v>76</v>
      </c>
      <c r="B89" s="9" t="s">
        <v>117</v>
      </c>
      <c r="C89" s="56" t="s">
        <v>118</v>
      </c>
      <c r="D89" s="56" t="s">
        <v>969</v>
      </c>
      <c r="E89" s="4">
        <v>45819</v>
      </c>
      <c r="F89" s="123"/>
      <c r="G89" s="61">
        <f ca="1">HOY-Control[[#This Row],[Fecha Inicial]]</f>
        <v>92</v>
      </c>
      <c r="H89" s="29"/>
      <c r="I89" s="124"/>
      <c r="J89" s="124"/>
      <c r="K89" s="123"/>
      <c r="L89" s="29"/>
      <c r="M89" s="9"/>
      <c r="N89" s="29" t="s">
        <v>17</v>
      </c>
      <c r="O89" s="56" t="s">
        <v>624</v>
      </c>
      <c r="P89" s="29" t="s">
        <v>68</v>
      </c>
      <c r="Q89" s="40" t="s">
        <v>25</v>
      </c>
      <c r="R89" s="56" t="s">
        <v>120</v>
      </c>
      <c r="S89" s="29" t="s">
        <v>20</v>
      </c>
      <c r="T89" s="40" t="s">
        <v>70</v>
      </c>
      <c r="U89" s="9">
        <v>60982</v>
      </c>
      <c r="V89" s="126" t="s">
        <v>121</v>
      </c>
      <c r="W89" s="56" t="str">
        <f>_xlfn.XLOOKUP(Control[[#This Row],[No.Remedy]],Tabla2[ID de la incidencia*+],Tabla2[Usuario asignado+],"No encontrado",0)</f>
        <v>Luis Enrique Rojas Villota</v>
      </c>
      <c r="X89" t="str">
        <f>_xlfn.XLOOKUP(Control[[#This Row],[No.Remedy]],Tabla2[ID de la incidencia*+],Tabla2[Estado*],"No encontrado",0)</f>
        <v>En curso</v>
      </c>
      <c r="Y89" s="110"/>
      <c r="AA89" s="151">
        <v>45991</v>
      </c>
    </row>
    <row r="90" spans="1:27" ht="15.75" customHeight="1" x14ac:dyDescent="0.25">
      <c r="A90" s="31">
        <f t="shared" si="4"/>
        <v>77</v>
      </c>
      <c r="B90" s="31" t="s">
        <v>108</v>
      </c>
      <c r="C90" s="34" t="s">
        <v>594</v>
      </c>
      <c r="D90" s="34" t="s">
        <v>856</v>
      </c>
      <c r="E90" s="4">
        <v>45814</v>
      </c>
      <c r="F90" s="32"/>
      <c r="G90" s="33">
        <f ca="1">HOY-Control[[#This Row],[Fecha Inicial]]</f>
        <v>97</v>
      </c>
      <c r="H90" s="32"/>
      <c r="I90" s="30"/>
      <c r="J90" s="30"/>
      <c r="K90" s="32"/>
      <c r="L90" s="32"/>
      <c r="M90" s="31"/>
      <c r="N90" s="32" t="s">
        <v>17</v>
      </c>
      <c r="O90" s="34" t="s">
        <v>931</v>
      </c>
      <c r="P90" s="32" t="s">
        <v>68</v>
      </c>
      <c r="Q90" s="41" t="s">
        <v>25</v>
      </c>
      <c r="R90" s="41" t="s">
        <v>283</v>
      </c>
      <c r="S90" s="32" t="s">
        <v>20</v>
      </c>
      <c r="T90" s="40" t="s">
        <v>1027</v>
      </c>
      <c r="U90" s="31">
        <v>60980</v>
      </c>
      <c r="V90" s="81" t="s">
        <v>109</v>
      </c>
      <c r="W90" s="34" t="str">
        <f>_xlfn.XLOOKUP(Control[[#This Row],[No.Remedy]],Tabla2[ID de la incidencia*+],Tabla2[Usuario asignado+],"No encontrado",0)</f>
        <v>Luis Enrique Rojas Villota</v>
      </c>
      <c r="X90" t="str">
        <f>_xlfn.XLOOKUP(Control[[#This Row],[No.Remedy]],Tabla2[ID de la incidencia*+],Tabla2[Estado*],"No encontrado",0)</f>
        <v>En curso</v>
      </c>
      <c r="Y90" s="110"/>
      <c r="AA90" s="151">
        <v>45991</v>
      </c>
    </row>
    <row r="91" spans="1:27" ht="15.75" customHeight="1" x14ac:dyDescent="0.25">
      <c r="A91" s="31">
        <f t="shared" si="4"/>
        <v>78</v>
      </c>
      <c r="B91" s="31" t="s">
        <v>87</v>
      </c>
      <c r="C91" s="34" t="s">
        <v>88</v>
      </c>
      <c r="D91" s="34" t="s">
        <v>867</v>
      </c>
      <c r="E91" s="32">
        <v>45735</v>
      </c>
      <c r="F91" s="32"/>
      <c r="G91" s="33">
        <f ca="1">HOY-Control[[#This Row],[Fecha Inicial]]</f>
        <v>176</v>
      </c>
      <c r="H91" s="32"/>
      <c r="I91" s="30">
        <v>0</v>
      </c>
      <c r="J91" s="30"/>
      <c r="K91" s="32"/>
      <c r="L91" s="32"/>
      <c r="M91" s="31"/>
      <c r="N91" s="32" t="s">
        <v>17</v>
      </c>
      <c r="O91" s="34" t="s">
        <v>1163</v>
      </c>
      <c r="P91" s="32" t="s">
        <v>68</v>
      </c>
      <c r="Q91" s="41" t="s">
        <v>25</v>
      </c>
      <c r="R91" s="41" t="s">
        <v>90</v>
      </c>
      <c r="S91" s="32" t="s">
        <v>22</v>
      </c>
      <c r="T91" s="41" t="s">
        <v>70</v>
      </c>
      <c r="U91" s="31">
        <v>145930</v>
      </c>
      <c r="V91" s="36" t="s">
        <v>91</v>
      </c>
      <c r="W91" s="34" t="str">
        <f>_xlfn.XLOOKUP(Control[[#This Row],[No.Remedy]],Tabla2[ID de la incidencia*+],Tabla2[Usuario asignado+],"No encontrado",0)</f>
        <v>Luis Enrique Rojas Villota</v>
      </c>
      <c r="X91" t="str">
        <f>_xlfn.XLOOKUP(Control[[#This Row],[No.Remedy]],Tabla2[ID de la incidencia*+],Tabla2[Estado*],"No encontrado",0)</f>
        <v>En curso</v>
      </c>
      <c r="Y91" s="110"/>
      <c r="AA91" s="151">
        <v>45991</v>
      </c>
    </row>
    <row r="92" spans="1:27" ht="15.75" customHeight="1" x14ac:dyDescent="0.25">
      <c r="A92" s="9">
        <f t="shared" si="4"/>
        <v>79</v>
      </c>
      <c r="B92" s="9" t="s">
        <v>739</v>
      </c>
      <c r="C92" s="56" t="s">
        <v>744</v>
      </c>
      <c r="D92" s="56" t="s">
        <v>968</v>
      </c>
      <c r="E92" s="4">
        <v>45847</v>
      </c>
      <c r="F92" s="123"/>
      <c r="G92" s="61">
        <f ca="1">HOY-Control[[#This Row],[Fecha Inicial]]</f>
        <v>64</v>
      </c>
      <c r="H92" s="29"/>
      <c r="I92" s="124"/>
      <c r="J92" s="124"/>
      <c r="K92" s="123"/>
      <c r="L92" s="123"/>
      <c r="M92" s="2"/>
      <c r="N92" s="29" t="s">
        <v>17</v>
      </c>
      <c r="O92" s="2" t="s">
        <v>1162</v>
      </c>
      <c r="P92" s="29" t="s">
        <v>68</v>
      </c>
      <c r="Q92" s="40" t="s">
        <v>26</v>
      </c>
      <c r="R92" s="40" t="s">
        <v>745</v>
      </c>
      <c r="S92" s="29" t="s">
        <v>20</v>
      </c>
      <c r="T92" s="40" t="s">
        <v>81</v>
      </c>
      <c r="U92" s="9">
        <v>60985</v>
      </c>
      <c r="V92" s="130" t="s">
        <v>743</v>
      </c>
      <c r="W92" s="34" t="str">
        <f>_xlfn.XLOOKUP(Control[[#This Row],[No.Remedy]],Tabla2[ID de la incidencia*+],Tabla2[Usuario asignado+],"No encontrado",0)</f>
        <v>Luis Enrique Rojas Villota</v>
      </c>
      <c r="X92" t="str">
        <f>_xlfn.XLOOKUP(Control[[#This Row],[No.Remedy]],Tabla2[ID de la incidencia*+],Tabla2[Estado*],"No encontrado",0)</f>
        <v>En curso</v>
      </c>
      <c r="Y92" s="110">
        <v>1</v>
      </c>
      <c r="AA92" s="151">
        <v>45991</v>
      </c>
    </row>
    <row r="93" spans="1:27" ht="15.75" hidden="1" customHeight="1" x14ac:dyDescent="0.25">
      <c r="A93" s="31">
        <f t="shared" si="4"/>
        <v>80</v>
      </c>
      <c r="B93" s="31" t="s">
        <v>382</v>
      </c>
      <c r="C93" s="34" t="s">
        <v>383</v>
      </c>
      <c r="D93" s="34"/>
      <c r="E93" s="32">
        <v>45776</v>
      </c>
      <c r="F93" s="4">
        <v>45862</v>
      </c>
      <c r="G93" s="33">
        <f ca="1">HOY-Control[[#This Row],[Fecha Inicial]]</f>
        <v>135</v>
      </c>
      <c r="H93" s="32"/>
      <c r="I93" s="3"/>
      <c r="J93" s="108">
        <v>2137</v>
      </c>
      <c r="K93" s="4"/>
      <c r="L93" s="32" t="s">
        <v>252</v>
      </c>
      <c r="M93" s="31" t="s">
        <v>941</v>
      </c>
      <c r="N93" s="32" t="s">
        <v>17</v>
      </c>
      <c r="O93" s="34" t="s">
        <v>948</v>
      </c>
      <c r="P93" s="32" t="s">
        <v>61</v>
      </c>
      <c r="Q93" s="41" t="s">
        <v>55</v>
      </c>
      <c r="R93" s="4" t="s">
        <v>385</v>
      </c>
      <c r="S93" s="32" t="s">
        <v>20</v>
      </c>
      <c r="T93" s="41" t="s">
        <v>81</v>
      </c>
      <c r="U93" s="31">
        <v>60968</v>
      </c>
      <c r="V93" s="36" t="s">
        <v>386</v>
      </c>
      <c r="W93" s="252" t="str">
        <f>_xlfn.XLOOKUP(Control[[#This Row],[No.Remedy]],Tabla2[ID de la incidencia*+],Tabla2[Usuario asignado+],"No encontrado",0)</f>
        <v>No encontrado</v>
      </c>
      <c r="X93" t="str">
        <f>_xlfn.XLOOKUP(Control[[#This Row],[No.Remedy]],Tabla2[ID de la incidencia*+],Tabla2[Estado*],"No encontrado",0)</f>
        <v>No encontrado</v>
      </c>
      <c r="Y93" s="111"/>
    </row>
    <row r="94" spans="1:27" ht="15.75" customHeight="1" x14ac:dyDescent="0.25">
      <c r="A94" s="9">
        <f t="shared" si="4"/>
        <v>81</v>
      </c>
      <c r="B94" s="9" t="s">
        <v>193</v>
      </c>
      <c r="C94" s="56" t="s">
        <v>194</v>
      </c>
      <c r="D94" s="56"/>
      <c r="E94" s="4">
        <v>45792</v>
      </c>
      <c r="F94" s="123"/>
      <c r="G94" s="61">
        <f ca="1">HOY-Control[[#This Row],[Fecha Inicial]]</f>
        <v>119</v>
      </c>
      <c r="H94" s="29"/>
      <c r="I94" s="124"/>
      <c r="J94" s="124">
        <v>2135</v>
      </c>
      <c r="K94" s="123"/>
      <c r="L94" s="29"/>
      <c r="M94" s="9"/>
      <c r="N94" s="29" t="s">
        <v>17</v>
      </c>
      <c r="O94" s="56" t="s">
        <v>1070</v>
      </c>
      <c r="P94" s="29" t="s">
        <v>68</v>
      </c>
      <c r="Q94" s="40" t="s">
        <v>26</v>
      </c>
      <c r="R94" s="40" t="s">
        <v>196</v>
      </c>
      <c r="S94" s="29" t="s">
        <v>20</v>
      </c>
      <c r="T94" s="40" t="s">
        <v>1016</v>
      </c>
      <c r="U94" s="9"/>
      <c r="V94" s="129" t="s">
        <v>197</v>
      </c>
      <c r="W94" s="56" t="str">
        <f>_xlfn.XLOOKUP(Control[[#This Row],[No.Remedy]],Tabla2[ID de la incidencia*+],Tabla2[Usuario asignado+],"No encontrado",0)</f>
        <v>Luis Enrique Rojas Villota</v>
      </c>
      <c r="X94" t="str">
        <f>_xlfn.XLOOKUP(Control[[#This Row],[No.Remedy]],Tabla2[ID de la incidencia*+],Tabla2[Estado*],"No encontrado",0)</f>
        <v>En curso</v>
      </c>
      <c r="Y94" s="110"/>
      <c r="AA94" s="151">
        <v>45991</v>
      </c>
    </row>
    <row r="95" spans="1:27" ht="15.75" customHeight="1" x14ac:dyDescent="0.25">
      <c r="A95" s="31">
        <f t="shared" si="4"/>
        <v>82</v>
      </c>
      <c r="B95" s="31" t="s">
        <v>103</v>
      </c>
      <c r="C95" s="34" t="s">
        <v>104</v>
      </c>
      <c r="D95" s="34" t="s">
        <v>970</v>
      </c>
      <c r="E95" s="32">
        <v>45768</v>
      </c>
      <c r="F95" s="32"/>
      <c r="G95" s="33">
        <f ca="1">HOY-Control[[#This Row],[Fecha Inicial]]</f>
        <v>143</v>
      </c>
      <c r="H95" s="32"/>
      <c r="I95" s="30"/>
      <c r="J95" s="30"/>
      <c r="K95" s="32"/>
      <c r="L95" s="32"/>
      <c r="M95" s="31"/>
      <c r="N95" s="32" t="s">
        <v>17</v>
      </c>
      <c r="O95" s="70" t="s">
        <v>932</v>
      </c>
      <c r="P95" s="32" t="s">
        <v>68</v>
      </c>
      <c r="Q95" s="41" t="s">
        <v>26</v>
      </c>
      <c r="R95" s="41" t="s">
        <v>106</v>
      </c>
      <c r="S95" s="32" t="s">
        <v>22</v>
      </c>
      <c r="T95" s="41" t="s">
        <v>70</v>
      </c>
      <c r="U95" s="31">
        <v>143966</v>
      </c>
      <c r="V95" s="36" t="s">
        <v>107</v>
      </c>
      <c r="W95" s="34" t="str">
        <f>_xlfn.XLOOKUP(Control[[#This Row],[No.Remedy]],Tabla2[ID de la incidencia*+],Tabla2[Usuario asignado+],"No encontrado",0)</f>
        <v>Luis Enrique Rojas Villota</v>
      </c>
      <c r="X95" t="str">
        <f>_xlfn.XLOOKUP(Control[[#This Row],[No.Remedy]],Tabla2[ID de la incidencia*+],Tabla2[Estado*],"No encontrado",0)</f>
        <v>En curso</v>
      </c>
      <c r="Y95" s="110"/>
      <c r="AA95" s="151">
        <v>45991</v>
      </c>
    </row>
    <row r="96" spans="1:27" ht="15.75" customHeight="1" x14ac:dyDescent="0.25">
      <c r="A96" s="31">
        <f t="shared" si="4"/>
        <v>83</v>
      </c>
      <c r="B96" s="31" t="s">
        <v>122</v>
      </c>
      <c r="C96" s="34" t="s">
        <v>123</v>
      </c>
      <c r="D96" s="34"/>
      <c r="E96" s="4">
        <v>45729</v>
      </c>
      <c r="F96" s="32"/>
      <c r="G96" s="33">
        <f ca="1">HOY-Control[[#This Row],[Fecha Inicial]]</f>
        <v>182</v>
      </c>
      <c r="H96" s="32" t="s">
        <v>12</v>
      </c>
      <c r="I96" s="30">
        <v>0</v>
      </c>
      <c r="J96" s="30"/>
      <c r="K96" s="32"/>
      <c r="L96" s="32" t="s">
        <v>58</v>
      </c>
      <c r="M96" s="31"/>
      <c r="N96" s="32" t="s">
        <v>17</v>
      </c>
      <c r="O96" s="70" t="s">
        <v>1002</v>
      </c>
      <c r="P96" s="32" t="s">
        <v>68</v>
      </c>
      <c r="Q96" s="41" t="s">
        <v>26</v>
      </c>
      <c r="R96" s="41" t="s">
        <v>616</v>
      </c>
      <c r="S96" s="32" t="s">
        <v>20</v>
      </c>
      <c r="T96" s="41" t="s">
        <v>70</v>
      </c>
      <c r="U96" s="31">
        <v>60958</v>
      </c>
      <c r="V96" s="36" t="s">
        <v>124</v>
      </c>
      <c r="W96" s="34" t="str">
        <f>_xlfn.XLOOKUP(Control[[#This Row],[No.Remedy]],Tabla2[ID de la incidencia*+],Tabla2[Usuario asignado+],"No encontrado",0)</f>
        <v>Luis Enrique Rojas Villota</v>
      </c>
      <c r="X96" t="str">
        <f>_xlfn.XLOOKUP(Control[[#This Row],[No.Remedy]],Tabla2[ID de la incidencia*+],Tabla2[Estado*],"No encontrado",0)</f>
        <v>En curso</v>
      </c>
      <c r="Y96" s="110"/>
      <c r="AA96" s="151">
        <v>45991</v>
      </c>
    </row>
    <row r="97" spans="1:27" ht="15.75" customHeight="1" x14ac:dyDescent="0.25">
      <c r="A97" s="9">
        <f t="shared" si="4"/>
        <v>84</v>
      </c>
      <c r="B97" s="9" t="s">
        <v>1156</v>
      </c>
      <c r="C97" s="56" t="s">
        <v>1160</v>
      </c>
      <c r="D97" s="56"/>
      <c r="E97" s="123">
        <v>45895</v>
      </c>
      <c r="F97" s="123"/>
      <c r="G97" s="61">
        <f ca="1">HOY-Control[[#This Row],[Fecha Inicial]]</f>
        <v>16</v>
      </c>
      <c r="H97" s="29"/>
      <c r="I97" s="124"/>
      <c r="J97" s="124"/>
      <c r="K97" s="123"/>
      <c r="L97" s="123"/>
      <c r="M97" s="2"/>
      <c r="N97" s="29" t="s">
        <v>17</v>
      </c>
      <c r="O97" s="2"/>
      <c r="P97" s="29" t="s">
        <v>68</v>
      </c>
      <c r="Q97" s="40" t="s">
        <v>944</v>
      </c>
      <c r="R97" s="40"/>
      <c r="S97" s="29" t="s">
        <v>20</v>
      </c>
      <c r="T97" s="40" t="s">
        <v>1161</v>
      </c>
      <c r="U97" s="9">
        <v>60991</v>
      </c>
      <c r="V97" s="130" t="s">
        <v>1159</v>
      </c>
      <c r="W97" s="56" t="str">
        <f>_xlfn.XLOOKUP(Control[[#This Row],[No.Remedy]],Tabla2[ID de la incidencia*+],Tabla2[Usuario asignado+],"No encontrado",0)</f>
        <v>Luis Enrique Rojas Villota</v>
      </c>
      <c r="X97" t="str">
        <f>_xlfn.XLOOKUP(Control[[#This Row],[No.Remedy]],Tabla2[ID de la incidencia*+],Tabla2[Estado*],"No encontrado",0)</f>
        <v>En curso</v>
      </c>
      <c r="Y97" s="110"/>
    </row>
    <row r="98" spans="1:27" ht="15.75" hidden="1" customHeight="1" x14ac:dyDescent="0.25">
      <c r="A98" s="9">
        <f t="shared" si="4"/>
        <v>85</v>
      </c>
      <c r="B98" s="9" t="s">
        <v>1042</v>
      </c>
      <c r="C98" s="56" t="s">
        <v>1066</v>
      </c>
      <c r="D98" s="56" t="s">
        <v>1053</v>
      </c>
      <c r="E98" s="29">
        <v>45870</v>
      </c>
      <c r="F98" s="123"/>
      <c r="G98" s="61">
        <f ca="1">HOY-Control[[#This Row],[Fecha Inicial]]</f>
        <v>41</v>
      </c>
      <c r="H98" s="29"/>
      <c r="I98" s="124"/>
      <c r="J98" s="124"/>
      <c r="K98" s="123"/>
      <c r="L98" s="123"/>
      <c r="M98" s="2"/>
      <c r="N98" s="29" t="s">
        <v>75</v>
      </c>
      <c r="O98" s="2" t="s">
        <v>1055</v>
      </c>
      <c r="P98" s="29" t="s">
        <v>61</v>
      </c>
      <c r="Q98" s="40" t="s">
        <v>55</v>
      </c>
      <c r="R98" s="123" t="s">
        <v>178</v>
      </c>
      <c r="S98" s="29" t="s">
        <v>18</v>
      </c>
      <c r="T98" s="40" t="s">
        <v>146</v>
      </c>
      <c r="U98" s="2"/>
      <c r="V98" s="126" t="s">
        <v>1043</v>
      </c>
      <c r="W98" s="2" t="str">
        <f>_xlfn.XLOOKUP(Control[[#This Row],[No.Remedy]],Tabla2[ID de la incidencia*+],Tabla2[Usuario asignado+],"No encontrado",0)</f>
        <v>No encontrado</v>
      </c>
      <c r="X98" t="str">
        <f>_xlfn.XLOOKUP(Control[[#This Row],[No.Remedy]],Tabla2[ID de la incidencia*+],Tabla2[Estado*],"No encontrado",0)</f>
        <v>No encontrado</v>
      </c>
      <c r="Y98" s="110"/>
    </row>
    <row r="99" spans="1:27" ht="15.75" hidden="1" customHeight="1" x14ac:dyDescent="0.25">
      <c r="A99" s="9">
        <f t="shared" si="4"/>
        <v>86</v>
      </c>
      <c r="B99" s="9" t="s">
        <v>1062</v>
      </c>
      <c r="C99" s="56" t="s">
        <v>1065</v>
      </c>
      <c r="D99" s="56"/>
      <c r="E99" s="29">
        <v>45873</v>
      </c>
      <c r="F99" s="123"/>
      <c r="G99" s="61">
        <f ca="1">HOY-Control[[#This Row],[Fecha Inicial]]</f>
        <v>38</v>
      </c>
      <c r="H99" s="29"/>
      <c r="I99" s="124"/>
      <c r="J99" s="124"/>
      <c r="K99" s="123"/>
      <c r="L99" s="123"/>
      <c r="M99" s="2"/>
      <c r="N99" s="29" t="s">
        <v>75</v>
      </c>
      <c r="O99" s="2" t="s">
        <v>1054</v>
      </c>
      <c r="P99" s="29" t="s">
        <v>61</v>
      </c>
      <c r="Q99" s="40" t="s">
        <v>55</v>
      </c>
      <c r="R99" s="123" t="s">
        <v>239</v>
      </c>
      <c r="S99" s="29" t="s">
        <v>18</v>
      </c>
      <c r="T99" s="40" t="s">
        <v>115</v>
      </c>
      <c r="U99" s="2"/>
      <c r="V99" s="130" t="s">
        <v>1064</v>
      </c>
      <c r="W99" s="2" t="str">
        <f>_xlfn.XLOOKUP(Control[[#This Row],[No.Remedy]],Tabla2[ID de la incidencia*+],Tabla2[Usuario asignado+],"No encontrado",0)</f>
        <v>Luis Enrique Rojas Villota</v>
      </c>
      <c r="X99" t="str">
        <f>_xlfn.XLOOKUP(Control[[#This Row],[No.Remedy]],Tabla2[ID de la incidencia*+],Tabla2[Estado*],"No encontrado",0)</f>
        <v>Resuelto</v>
      </c>
      <c r="Y99" s="110"/>
    </row>
    <row r="100" spans="1:27" ht="15.75" hidden="1" customHeight="1" x14ac:dyDescent="0.25">
      <c r="A100" s="9">
        <f t="shared" si="4"/>
        <v>87</v>
      </c>
      <c r="B100" s="9" t="s">
        <v>175</v>
      </c>
      <c r="C100" s="56" t="s">
        <v>176</v>
      </c>
      <c r="D100" s="56" t="s">
        <v>852</v>
      </c>
      <c r="E100" s="29">
        <v>45733</v>
      </c>
      <c r="F100" s="123"/>
      <c r="G100" s="61">
        <f ca="1">HOY-Control[[#This Row],[Fecha Inicial]]</f>
        <v>178</v>
      </c>
      <c r="H100" s="9" t="s">
        <v>58</v>
      </c>
      <c r="I100" s="124" t="s">
        <v>62</v>
      </c>
      <c r="J100" s="124"/>
      <c r="K100" s="123">
        <v>45763</v>
      </c>
      <c r="L100" s="123" t="s">
        <v>58</v>
      </c>
      <c r="M100" s="2">
        <v>0</v>
      </c>
      <c r="N100" s="29" t="s">
        <v>75</v>
      </c>
      <c r="O100" s="2" t="s">
        <v>874</v>
      </c>
      <c r="P100" s="29" t="s">
        <v>736</v>
      </c>
      <c r="Q100" s="40" t="s">
        <v>21</v>
      </c>
      <c r="R100" s="40" t="s">
        <v>178</v>
      </c>
      <c r="S100" s="29" t="s">
        <v>18</v>
      </c>
      <c r="T100" s="40" t="s">
        <v>146</v>
      </c>
      <c r="U100" s="9" t="s">
        <v>77</v>
      </c>
      <c r="V100" s="125" t="s">
        <v>516</v>
      </c>
      <c r="W100" s="2" t="str">
        <f>_xlfn.XLOOKUP(Control[[#This Row],[No.Remedy]],Tabla2[ID de la incidencia*+],Tabla2[Usuario asignado+],"No encontrado",0)</f>
        <v>Luis Enrique Rojas Villota</v>
      </c>
      <c r="X100" t="str">
        <f>_xlfn.XLOOKUP(Control[[#This Row],[No.Remedy]],Tabla2[ID de la incidencia*+],Tabla2[Estado*],"No encontrado",0)</f>
        <v>Resuelto</v>
      </c>
      <c r="Y100" s="110"/>
      <c r="AA100" s="150"/>
    </row>
    <row r="101" spans="1:27" ht="15.75" hidden="1" customHeight="1" x14ac:dyDescent="0.25">
      <c r="A101" s="71">
        <f t="shared" si="4"/>
        <v>88</v>
      </c>
      <c r="B101" s="71" t="s">
        <v>220</v>
      </c>
      <c r="C101" s="73" t="s">
        <v>221</v>
      </c>
      <c r="D101" s="73"/>
      <c r="E101" s="29">
        <v>45337</v>
      </c>
      <c r="F101" s="279"/>
      <c r="G101" s="62">
        <f ca="1">HOY-Control[[#This Row],[Fecha Inicial]]</f>
        <v>574</v>
      </c>
      <c r="H101" s="71">
        <v>0</v>
      </c>
      <c r="I101" s="127">
        <v>0</v>
      </c>
      <c r="J101" s="127"/>
      <c r="K101" s="279"/>
      <c r="L101" s="35"/>
      <c r="M101" s="14"/>
      <c r="N101" s="35" t="s">
        <v>17</v>
      </c>
      <c r="O101" s="60" t="s">
        <v>222</v>
      </c>
      <c r="P101" s="35" t="s">
        <v>736</v>
      </c>
      <c r="Q101" s="40" t="s">
        <v>21</v>
      </c>
      <c r="R101" s="279" t="s">
        <v>223</v>
      </c>
      <c r="S101" s="35" t="s">
        <v>18</v>
      </c>
      <c r="T101" s="72" t="s">
        <v>96</v>
      </c>
      <c r="U101" s="71" t="s">
        <v>77</v>
      </c>
      <c r="V101" s="133" t="s">
        <v>224</v>
      </c>
      <c r="W101" s="14" t="str">
        <f>_xlfn.XLOOKUP(Control[[#This Row],[No.Remedy]],Tabla2[ID de la incidencia*+],Tabla2[Usuario asignado+],"No encontrado",0)</f>
        <v>Luis Enrique Rojas Villota</v>
      </c>
      <c r="X101" t="str">
        <f>_xlfn.XLOOKUP(Control[[#This Row],[No.Remedy]],Tabla2[ID de la incidencia*+],Tabla2[Estado*],"No encontrado",0)</f>
        <v>Resuelto</v>
      </c>
      <c r="Y101" s="110"/>
      <c r="AA101" s="150"/>
    </row>
    <row r="102" spans="1:27" x14ac:dyDescent="0.25">
      <c r="A102" s="247">
        <f t="shared" si="4"/>
        <v>89</v>
      </c>
      <c r="B102" s="247" t="s">
        <v>996</v>
      </c>
      <c r="C102" s="248" t="s">
        <v>1001</v>
      </c>
      <c r="D102" s="248" t="s">
        <v>1003</v>
      </c>
      <c r="E102" s="142">
        <v>45866</v>
      </c>
      <c r="F102" s="287"/>
      <c r="G102" s="249">
        <f ca="1">HOY-Control[[#This Row],[Fecha Inicial]]</f>
        <v>45</v>
      </c>
      <c r="H102" s="250"/>
      <c r="I102" s="251"/>
      <c r="J102" s="251">
        <v>2150</v>
      </c>
      <c r="K102" s="287"/>
      <c r="L102" s="287"/>
      <c r="M102" s="21"/>
      <c r="N102" s="250" t="s">
        <v>17</v>
      </c>
      <c r="O102" s="21" t="s">
        <v>1083</v>
      </c>
      <c r="P102" s="250" t="s">
        <v>68</v>
      </c>
      <c r="Q102" s="153" t="s">
        <v>944</v>
      </c>
      <c r="R102" s="153" t="s">
        <v>385</v>
      </c>
      <c r="S102" s="250" t="s">
        <v>20</v>
      </c>
      <c r="T102" s="153" t="s">
        <v>81</v>
      </c>
      <c r="U102" s="247">
        <v>60989</v>
      </c>
      <c r="V102" s="290" t="s">
        <v>999</v>
      </c>
      <c r="W102" s="248" t="str">
        <f>_xlfn.XLOOKUP(Control[[#This Row],[No.Remedy]],Tabla2[ID de la incidencia*+],Tabla2[Usuario asignado+],"No encontrado",0)</f>
        <v>Luis Enrique Rojas Villota</v>
      </c>
      <c r="X102" t="str">
        <f>_xlfn.XLOOKUP(Control[[#This Row],[No.Remedy]],Tabla2[ID de la incidencia*+],Tabla2[Estado*],"No encontrado",0)</f>
        <v>En curso</v>
      </c>
      <c r="Y102" s="154"/>
      <c r="AA102" s="151">
        <v>45991</v>
      </c>
    </row>
    <row r="103" spans="1:27" x14ac:dyDescent="0.25">
      <c r="A103" s="247">
        <f t="shared" si="4"/>
        <v>90</v>
      </c>
      <c r="B103" s="247" t="s">
        <v>602</v>
      </c>
      <c r="C103" s="248" t="s">
        <v>603</v>
      </c>
      <c r="D103" s="248"/>
      <c r="E103" s="246">
        <v>45840</v>
      </c>
      <c r="F103" s="287"/>
      <c r="G103" s="249">
        <f ca="1">HOY-Control[[#This Row],[Fecha Inicial]]</f>
        <v>71</v>
      </c>
      <c r="H103" s="250"/>
      <c r="I103" s="251"/>
      <c r="J103" s="251">
        <v>2147</v>
      </c>
      <c r="K103" s="287"/>
      <c r="L103" s="287"/>
      <c r="M103" s="21"/>
      <c r="N103" s="250" t="s">
        <v>17</v>
      </c>
      <c r="O103" s="21" t="s">
        <v>945</v>
      </c>
      <c r="P103" s="250" t="s">
        <v>68</v>
      </c>
      <c r="Q103" s="153" t="s">
        <v>944</v>
      </c>
      <c r="R103" s="248" t="s">
        <v>120</v>
      </c>
      <c r="S103" s="250" t="s">
        <v>20</v>
      </c>
      <c r="T103" s="153" t="s">
        <v>70</v>
      </c>
      <c r="U103" s="247">
        <v>60981</v>
      </c>
      <c r="V103" s="275" t="s">
        <v>606</v>
      </c>
      <c r="W103" s="248" t="str">
        <f>_xlfn.XLOOKUP(Control[[#This Row],[No.Remedy]],Tabla2[ID de la incidencia*+],Tabla2[Usuario asignado+],"No encontrado",0)</f>
        <v>Luis Enrique Rojas Villota</v>
      </c>
      <c r="X103" t="str">
        <f>_xlfn.XLOOKUP(Control[[#This Row],[No.Remedy]],Tabla2[ID de la incidencia*+],Tabla2[Estado*],"No encontrado",0)</f>
        <v>En curso</v>
      </c>
      <c r="Y103" s="154"/>
      <c r="AA103" s="151">
        <v>45991</v>
      </c>
    </row>
    <row r="104" spans="1:27" x14ac:dyDescent="0.25">
      <c r="A104" s="247">
        <f t="shared" si="4"/>
        <v>91</v>
      </c>
      <c r="B104" s="247" t="s">
        <v>1143</v>
      </c>
      <c r="C104" s="248" t="s">
        <v>1149</v>
      </c>
      <c r="D104" s="248"/>
      <c r="E104" s="289">
        <v>45884</v>
      </c>
      <c r="F104" s="287"/>
      <c r="G104" s="249">
        <f ca="1">HOY-Control[[#This Row],[Fecha Inicial]]</f>
        <v>27</v>
      </c>
      <c r="H104" s="250"/>
      <c r="I104" s="251"/>
      <c r="J104" s="251"/>
      <c r="K104" s="287"/>
      <c r="L104" s="287"/>
      <c r="M104" s="21"/>
      <c r="N104" s="250" t="s">
        <v>17</v>
      </c>
      <c r="O104" s="21" t="s">
        <v>1165</v>
      </c>
      <c r="P104" s="250" t="s">
        <v>68</v>
      </c>
      <c r="Q104" s="153" t="s">
        <v>27</v>
      </c>
      <c r="R104" s="153" t="s">
        <v>178</v>
      </c>
      <c r="S104" s="250" t="s">
        <v>20</v>
      </c>
      <c r="T104" s="153" t="s">
        <v>146</v>
      </c>
      <c r="U104" s="247">
        <v>60990</v>
      </c>
      <c r="V104" s="275" t="s">
        <v>1146</v>
      </c>
      <c r="W104" s="248" t="str">
        <f>_xlfn.XLOOKUP(Control[[#This Row],[No.Remedy]],Tabla2[ID de la incidencia*+],Tabla2[Usuario asignado+],"No encontrado",0)</f>
        <v>Luis Enrique Rojas Villota</v>
      </c>
      <c r="X104" t="str">
        <f>_xlfn.XLOOKUP(Control[[#This Row],[No.Remedy]],Tabla2[ID de la incidencia*+],Tabla2[Estado*],"No encontrado",0)</f>
        <v>En curso</v>
      </c>
      <c r="Y104" s="154"/>
    </row>
    <row r="105" spans="1:27" x14ac:dyDescent="0.25">
      <c r="A105" s="9">
        <f t="shared" si="4"/>
        <v>92</v>
      </c>
      <c r="B105" s="9" t="s">
        <v>1008</v>
      </c>
      <c r="C105" s="56" t="s">
        <v>1076</v>
      </c>
      <c r="D105" s="56" t="s">
        <v>1013</v>
      </c>
      <c r="E105" s="4">
        <v>45866</v>
      </c>
      <c r="F105" s="123"/>
      <c r="G105" s="61">
        <f ca="1">HOY-Control[[#This Row],[Fecha Inicial]]</f>
        <v>45</v>
      </c>
      <c r="H105" s="29"/>
      <c r="I105" s="124"/>
      <c r="J105" s="124"/>
      <c r="K105" s="123"/>
      <c r="L105" s="123"/>
      <c r="M105" s="2"/>
      <c r="N105" s="29" t="s">
        <v>17</v>
      </c>
      <c r="O105" s="2" t="s">
        <v>1164</v>
      </c>
      <c r="P105" s="29" t="s">
        <v>68</v>
      </c>
      <c r="Q105" s="40" t="s">
        <v>27</v>
      </c>
      <c r="R105" s="40" t="s">
        <v>283</v>
      </c>
      <c r="S105" s="29" t="s">
        <v>20</v>
      </c>
      <c r="T105" s="40" t="s">
        <v>146</v>
      </c>
      <c r="U105" s="9">
        <v>60987</v>
      </c>
      <c r="V105" s="291" t="s">
        <v>1012</v>
      </c>
      <c r="W105" s="56" t="str">
        <f>_xlfn.XLOOKUP(Control[[#This Row],[No.Remedy]],Tabla2[ID de la incidencia*+],Tabla2[Usuario asignado+],"No encontrado",0)</f>
        <v>Luis Enrique Rojas Villota</v>
      </c>
      <c r="X105" t="str">
        <f>_xlfn.XLOOKUP(Control[[#This Row],[No.Remedy]],Tabla2[ID de la incidencia*+],Tabla2[Estado*],"No encontrado",0)</f>
        <v>En curso</v>
      </c>
      <c r="Y105" s="110">
        <v>1</v>
      </c>
      <c r="AA105" s="151">
        <v>45991</v>
      </c>
    </row>
    <row r="106" spans="1:27" x14ac:dyDescent="0.25">
      <c r="A106" s="31">
        <f t="shared" si="4"/>
        <v>93</v>
      </c>
      <c r="B106" s="31" t="s">
        <v>372</v>
      </c>
      <c r="C106" s="34" t="s">
        <v>373</v>
      </c>
      <c r="D106" s="34"/>
      <c r="E106" s="4">
        <v>45772</v>
      </c>
      <c r="F106" s="4"/>
      <c r="G106" s="33">
        <f ca="1">HOY-Control[[#This Row],[Fecha Inicial]]</f>
        <v>139</v>
      </c>
      <c r="H106" s="32"/>
      <c r="I106" s="3"/>
      <c r="J106" s="3"/>
      <c r="K106" s="4"/>
      <c r="L106" s="32"/>
      <c r="M106" s="31"/>
      <c r="N106" s="32" t="s">
        <v>17</v>
      </c>
      <c r="O106" s="70" t="s">
        <v>1154</v>
      </c>
      <c r="P106" s="32" t="s">
        <v>68</v>
      </c>
      <c r="Q106" s="41" t="s">
        <v>27</v>
      </c>
      <c r="R106" s="41" t="s">
        <v>293</v>
      </c>
      <c r="S106" s="32" t="s">
        <v>18</v>
      </c>
      <c r="T106" s="41" t="s">
        <v>115</v>
      </c>
      <c r="U106" s="31" t="s">
        <v>72</v>
      </c>
      <c r="V106" s="235" t="s">
        <v>374</v>
      </c>
      <c r="W106" s="34" t="str">
        <f>_xlfn.XLOOKUP(Control[[#This Row],[No.Remedy]],Tabla2[ID de la incidencia*+],Tabla2[Usuario asignado+],"No encontrado",0)</f>
        <v>Luis Enrique Rojas Villota</v>
      </c>
      <c r="X106" t="str">
        <f>_xlfn.XLOOKUP(Control[[#This Row],[No.Remedy]],Tabla2[ID de la incidencia*+],Tabla2[Estado*],"No encontrado",0)</f>
        <v>En curso</v>
      </c>
      <c r="Y106" s="111"/>
      <c r="AA106" s="151">
        <v>45961</v>
      </c>
    </row>
    <row r="107" spans="1:27" x14ac:dyDescent="0.25">
      <c r="A107" s="31">
        <f t="shared" si="4"/>
        <v>94</v>
      </c>
      <c r="B107" s="31" t="s">
        <v>225</v>
      </c>
      <c r="C107" s="34" t="s">
        <v>226</v>
      </c>
      <c r="D107" s="34"/>
      <c r="E107" s="4">
        <v>45649.486192129632</v>
      </c>
      <c r="F107" s="32"/>
      <c r="G107" s="33">
        <f ca="1">HOY-Control[[#This Row],[Fecha Inicial]]</f>
        <v>261.5138078703676</v>
      </c>
      <c r="H107" s="31" t="s">
        <v>227</v>
      </c>
      <c r="I107" s="30">
        <v>6327500</v>
      </c>
      <c r="J107" s="30">
        <v>2116</v>
      </c>
      <c r="K107" s="32">
        <v>45758</v>
      </c>
      <c r="L107" s="32"/>
      <c r="M107" s="31">
        <v>927</v>
      </c>
      <c r="N107" s="32" t="s">
        <v>17</v>
      </c>
      <c r="O107" s="58" t="s">
        <v>964</v>
      </c>
      <c r="P107" s="32" t="s">
        <v>68</v>
      </c>
      <c r="Q107" s="41" t="s">
        <v>28</v>
      </c>
      <c r="R107" s="41" t="s">
        <v>283</v>
      </c>
      <c r="S107" s="32" t="s">
        <v>20</v>
      </c>
      <c r="T107" s="40" t="s">
        <v>1027</v>
      </c>
      <c r="U107" s="31">
        <v>60945</v>
      </c>
      <c r="V107" s="235" t="s">
        <v>229</v>
      </c>
      <c r="W107" s="34" t="str">
        <f>_xlfn.XLOOKUP(Control[[#This Row],[No.Remedy]],Tabla2[ID de la incidencia*+],Tabla2[Usuario asignado+],"No encontrado",0)</f>
        <v>Luis Enrique Rojas Villota</v>
      </c>
      <c r="X107" t="str">
        <f>_xlfn.XLOOKUP(Control[[#This Row],[No.Remedy]],Tabla2[ID de la incidencia*+],Tabla2[Estado*],"No encontrado",0)</f>
        <v>En curso</v>
      </c>
      <c r="Y107" s="110"/>
      <c r="AA107" s="151">
        <v>45930</v>
      </c>
    </row>
    <row r="108" spans="1:27" x14ac:dyDescent="0.25">
      <c r="A108" s="139">
        <f t="shared" si="4"/>
        <v>95</v>
      </c>
      <c r="B108" s="139" t="s">
        <v>250</v>
      </c>
      <c r="C108" s="140" t="s">
        <v>251</v>
      </c>
      <c r="D108" s="140" t="s">
        <v>1004</v>
      </c>
      <c r="E108" s="142">
        <v>45723</v>
      </c>
      <c r="F108" s="141"/>
      <c r="G108" s="143">
        <f ca="1">HOY-Control[[#This Row],[Fecha Inicial]]</f>
        <v>188</v>
      </c>
      <c r="H108" s="141"/>
      <c r="I108" s="232"/>
      <c r="J108" s="232"/>
      <c r="K108" s="141"/>
      <c r="L108" s="141" t="s">
        <v>252</v>
      </c>
      <c r="M108" s="139" t="s">
        <v>595</v>
      </c>
      <c r="N108" s="141" t="s">
        <v>17</v>
      </c>
      <c r="O108" s="145" t="s">
        <v>1071</v>
      </c>
      <c r="P108" s="141" t="s">
        <v>68</v>
      </c>
      <c r="Q108" s="146" t="s">
        <v>29</v>
      </c>
      <c r="R108" s="146" t="s">
        <v>283</v>
      </c>
      <c r="S108" s="141" t="s">
        <v>20</v>
      </c>
      <c r="T108" s="153" t="s">
        <v>1027</v>
      </c>
      <c r="U108" s="139">
        <v>60871</v>
      </c>
      <c r="V108" s="235" t="s">
        <v>254</v>
      </c>
      <c r="W108" s="140" t="str">
        <f>_xlfn.XLOOKUP(Control[[#This Row],[No.Remedy]],Tabla2[ID de la incidencia*+],Tabla2[Usuario asignado+],"No encontrado",0)</f>
        <v>Luis Enrique Rojas Villota</v>
      </c>
      <c r="X108" t="str">
        <f>_xlfn.XLOOKUP(Control[[#This Row],[No.Remedy]],Tabla2[ID de la incidencia*+],Tabla2[Estado*],"No encontrado",0)</f>
        <v>En curso</v>
      </c>
      <c r="Y108" s="154"/>
      <c r="AA108" s="151">
        <v>45900</v>
      </c>
    </row>
    <row r="109" spans="1:27" hidden="1" x14ac:dyDescent="0.25">
      <c r="A109" s="139">
        <f t="shared" si="4"/>
        <v>96</v>
      </c>
      <c r="B109" s="139" t="s">
        <v>236</v>
      </c>
      <c r="C109" s="140" t="s">
        <v>237</v>
      </c>
      <c r="D109" s="140"/>
      <c r="E109" s="141">
        <v>45777</v>
      </c>
      <c r="F109" s="141">
        <v>45884</v>
      </c>
      <c r="G109" s="143">
        <f ca="1">HOY-Control[[#This Row],[Fecha Inicial]]</f>
        <v>134</v>
      </c>
      <c r="H109" s="141"/>
      <c r="I109" s="232"/>
      <c r="J109" s="232"/>
      <c r="K109" s="141"/>
      <c r="L109" s="141"/>
      <c r="M109" s="139"/>
      <c r="N109" s="141" t="s">
        <v>75</v>
      </c>
      <c r="O109" s="140" t="s">
        <v>1059</v>
      </c>
      <c r="P109" s="141" t="s">
        <v>61</v>
      </c>
      <c r="Q109" s="146" t="s">
        <v>55</v>
      </c>
      <c r="R109" s="141" t="s">
        <v>239</v>
      </c>
      <c r="S109" s="141" t="s">
        <v>18</v>
      </c>
      <c r="T109" s="146" t="s">
        <v>115</v>
      </c>
      <c r="U109" s="139" t="s">
        <v>72</v>
      </c>
      <c r="V109" s="237" t="s">
        <v>240</v>
      </c>
      <c r="W109" s="139" t="str">
        <f>_xlfn.XLOOKUP(Control[[#This Row],[No.Remedy]],Tabla2[ID de la incidencia*+],Tabla2[Usuario asignado+],"No encontrado",0)</f>
        <v>No encontrado</v>
      </c>
      <c r="X109" t="str">
        <f>_xlfn.XLOOKUP(Control[[#This Row],[No.Remedy]],Tabla2[ID de la incidencia*+],Tabla2[Estado*],"No encontrado",0)</f>
        <v>No encontrado</v>
      </c>
      <c r="Y109" s="154"/>
      <c r="AA109" s="151">
        <v>45991</v>
      </c>
    </row>
    <row r="110" spans="1:27" x14ac:dyDescent="0.25">
      <c r="A110" s="9">
        <f t="shared" si="4"/>
        <v>97</v>
      </c>
      <c r="B110" s="9" t="s">
        <v>280</v>
      </c>
      <c r="C110" s="56" t="s">
        <v>281</v>
      </c>
      <c r="D110" s="56"/>
      <c r="E110" s="4">
        <v>45722</v>
      </c>
      <c r="F110" s="123"/>
      <c r="G110" s="61">
        <f ca="1">HOY-Control[[#This Row],[Fecha Inicial]]</f>
        <v>189</v>
      </c>
      <c r="H110" s="29"/>
      <c r="I110" s="124"/>
      <c r="J110" s="124"/>
      <c r="K110" s="123"/>
      <c r="L110" s="29" t="s">
        <v>252</v>
      </c>
      <c r="M110" s="9" t="s">
        <v>599</v>
      </c>
      <c r="N110" s="29" t="s">
        <v>17</v>
      </c>
      <c r="O110" s="59" t="s">
        <v>1025</v>
      </c>
      <c r="P110" s="29" t="s">
        <v>68</v>
      </c>
      <c r="Q110" s="40" t="s">
        <v>29</v>
      </c>
      <c r="R110" s="40" t="s">
        <v>283</v>
      </c>
      <c r="S110" s="29" t="s">
        <v>20</v>
      </c>
      <c r="T110" s="40" t="s">
        <v>1027</v>
      </c>
      <c r="U110" s="9">
        <v>60930</v>
      </c>
      <c r="V110" s="125" t="s">
        <v>284</v>
      </c>
      <c r="W110" s="56" t="str">
        <f>_xlfn.XLOOKUP(Control[[#This Row],[No.Remedy]],Tabla2[ID de la incidencia*+],Tabla2[Usuario asignado+],"No encontrado",0)</f>
        <v>Luis Enrique Rojas Villota</v>
      </c>
      <c r="X110" t="str">
        <f>_xlfn.XLOOKUP(Control[[#This Row],[No.Remedy]],Tabla2[ID de la incidencia*+],Tabla2[Estado*],"No encontrado",0)</f>
        <v>En curso</v>
      </c>
      <c r="Y110" s="110"/>
      <c r="AA110" s="151">
        <v>45930</v>
      </c>
    </row>
    <row r="111" spans="1:27" x14ac:dyDescent="0.25">
      <c r="A111" s="31">
        <f t="shared" si="4"/>
        <v>98</v>
      </c>
      <c r="B111" s="31" t="s">
        <v>318</v>
      </c>
      <c r="C111" s="34" t="s">
        <v>319</v>
      </c>
      <c r="D111" s="34"/>
      <c r="E111" s="4">
        <v>45470</v>
      </c>
      <c r="F111" s="4"/>
      <c r="G111" s="33">
        <f ca="1">HOY-Control[[#This Row],[Fecha Inicial]]</f>
        <v>441</v>
      </c>
      <c r="H111" s="32"/>
      <c r="I111" s="3">
        <v>2360940</v>
      </c>
      <c r="J111" s="3">
        <v>2089</v>
      </c>
      <c r="K111" s="4">
        <v>45716</v>
      </c>
      <c r="L111" s="32"/>
      <c r="M111" s="31">
        <v>953</v>
      </c>
      <c r="N111" s="32" t="s">
        <v>17</v>
      </c>
      <c r="O111" s="70" t="s">
        <v>1014</v>
      </c>
      <c r="P111" s="32" t="s">
        <v>68</v>
      </c>
      <c r="Q111" s="41" t="s">
        <v>29</v>
      </c>
      <c r="R111" s="41" t="s">
        <v>90</v>
      </c>
      <c r="S111" s="32" t="s">
        <v>20</v>
      </c>
      <c r="T111" s="41" t="s">
        <v>70</v>
      </c>
      <c r="U111" s="31">
        <v>60893</v>
      </c>
      <c r="V111" s="36" t="s">
        <v>321</v>
      </c>
      <c r="W111" s="34" t="str">
        <f>_xlfn.XLOOKUP(Control[[#This Row],[No.Remedy]],Tabla2[ID de la incidencia*+],Tabla2[Usuario asignado+],"No encontrado",0)</f>
        <v>Luis Enrique Rojas Villota</v>
      </c>
      <c r="X111" t="str">
        <f>_xlfn.XLOOKUP(Control[[#This Row],[No.Remedy]],Tabla2[ID de la incidencia*+],Tabla2[Estado*],"No encontrado",0)</f>
        <v>En curso</v>
      </c>
      <c r="Y111" s="111"/>
      <c r="AA111" s="151">
        <v>45930</v>
      </c>
    </row>
    <row r="112" spans="1:27" x14ac:dyDescent="0.25">
      <c r="A112" s="139">
        <f t="shared" si="4"/>
        <v>99</v>
      </c>
      <c r="B112" s="139" t="s">
        <v>295</v>
      </c>
      <c r="C112" s="140" t="s">
        <v>296</v>
      </c>
      <c r="D112" s="140"/>
      <c r="E112" s="141">
        <v>45700</v>
      </c>
      <c r="F112" s="142"/>
      <c r="G112" s="143">
        <f ca="1">HOY-Control[[#This Row],[Fecha Inicial]]</f>
        <v>211</v>
      </c>
      <c r="H112" s="139" t="s">
        <v>62</v>
      </c>
      <c r="I112" s="144" t="s">
        <v>62</v>
      </c>
      <c r="J112" s="144"/>
      <c r="K112" s="142" t="s">
        <v>62</v>
      </c>
      <c r="L112" s="141" t="s">
        <v>252</v>
      </c>
      <c r="M112" s="233" t="s">
        <v>607</v>
      </c>
      <c r="N112" s="141" t="s">
        <v>17</v>
      </c>
      <c r="O112" s="269" t="s">
        <v>1067</v>
      </c>
      <c r="P112" s="141" t="s">
        <v>68</v>
      </c>
      <c r="Q112" s="146" t="s">
        <v>30</v>
      </c>
      <c r="R112" s="146" t="s">
        <v>285</v>
      </c>
      <c r="S112" s="141" t="s">
        <v>20</v>
      </c>
      <c r="T112" s="146" t="s">
        <v>298</v>
      </c>
      <c r="U112" s="139">
        <v>0</v>
      </c>
      <c r="V112" s="273" t="s">
        <v>219</v>
      </c>
      <c r="W112" s="140" t="str">
        <f>_xlfn.XLOOKUP(Control[[#This Row],[No.Remedy]],Tabla2[ID de la incidencia*+],Tabla2[Usuario asignado+],"No encontrado",0)</f>
        <v>Jonattan Manuel Olivares Murcia</v>
      </c>
      <c r="X112" t="str">
        <f>_xlfn.XLOOKUP(Control[[#This Row],[No.Remedy]],Tabla2[ID de la incidencia*+],Tabla2[Estado*],"No encontrado",0)</f>
        <v>En curso</v>
      </c>
      <c r="Y112" s="148"/>
      <c r="AA112" s="151"/>
    </row>
    <row r="113" spans="1:27" x14ac:dyDescent="0.25">
      <c r="A113" s="139">
        <f t="shared" si="4"/>
        <v>100</v>
      </c>
      <c r="B113" s="139" t="s">
        <v>255</v>
      </c>
      <c r="C113" s="140" t="s">
        <v>256</v>
      </c>
      <c r="D113" s="140" t="s">
        <v>1005</v>
      </c>
      <c r="E113" s="142">
        <v>45624</v>
      </c>
      <c r="F113" s="141"/>
      <c r="G113" s="143">
        <f ca="1">HOY-Control[[#This Row],[Fecha Inicial]]</f>
        <v>287</v>
      </c>
      <c r="H113" s="139" t="s">
        <v>257</v>
      </c>
      <c r="I113" s="232">
        <v>14401734</v>
      </c>
      <c r="J113" s="232"/>
      <c r="K113" s="141">
        <v>45723</v>
      </c>
      <c r="L113" s="139" t="s">
        <v>252</v>
      </c>
      <c r="M113" s="233" t="s">
        <v>983</v>
      </c>
      <c r="N113" s="141" t="s">
        <v>17</v>
      </c>
      <c r="O113" s="234" t="s">
        <v>1068</v>
      </c>
      <c r="P113" s="141" t="s">
        <v>68</v>
      </c>
      <c r="Q113" s="146" t="s">
        <v>30</v>
      </c>
      <c r="R113" s="146" t="s">
        <v>750</v>
      </c>
      <c r="S113" s="141" t="s">
        <v>20</v>
      </c>
      <c r="T113" s="153" t="s">
        <v>1027</v>
      </c>
      <c r="U113" s="139">
        <v>60927</v>
      </c>
      <c r="V113" s="237" t="s">
        <v>259</v>
      </c>
      <c r="W113" s="140" t="str">
        <f>_xlfn.XLOOKUP(Control[[#This Row],[No.Remedy]],Tabla2[ID de la incidencia*+],Tabla2[Usuario asignado+],"No encontrado",0)</f>
        <v>Luis Enrique Rojas Villota</v>
      </c>
      <c r="X113" t="str">
        <f>_xlfn.XLOOKUP(Control[[#This Row],[No.Remedy]],Tabla2[ID de la incidencia*+],Tabla2[Estado*],"No encontrado",0)</f>
        <v>En curso</v>
      </c>
      <c r="Y113" s="154"/>
      <c r="Z113">
        <v>10</v>
      </c>
      <c r="AA113" s="151">
        <v>45879</v>
      </c>
    </row>
    <row r="114" spans="1:27" x14ac:dyDescent="0.25">
      <c r="A114" s="31">
        <v>86</v>
      </c>
      <c r="B114" s="31" t="s">
        <v>323</v>
      </c>
      <c r="C114" s="34" t="s">
        <v>324</v>
      </c>
      <c r="D114" s="34" t="s">
        <v>1007</v>
      </c>
      <c r="E114" s="4">
        <v>45440</v>
      </c>
      <c r="F114" s="32"/>
      <c r="G114" s="33">
        <f ca="1">HOY-Control[[#This Row],[Fecha Inicial]]</f>
        <v>471</v>
      </c>
      <c r="H114" s="152" t="s">
        <v>0</v>
      </c>
      <c r="I114" s="30">
        <v>16290486</v>
      </c>
      <c r="J114" s="30" t="s">
        <v>617</v>
      </c>
      <c r="K114" s="32">
        <v>45674</v>
      </c>
      <c r="L114" s="32" t="s">
        <v>134</v>
      </c>
      <c r="M114" s="109" t="s">
        <v>1082</v>
      </c>
      <c r="N114" s="32" t="s">
        <v>17</v>
      </c>
      <c r="O114" s="58" t="s">
        <v>1081</v>
      </c>
      <c r="P114" s="32" t="s">
        <v>68</v>
      </c>
      <c r="Q114" s="41" t="s">
        <v>30</v>
      </c>
      <c r="R114" s="41" t="s">
        <v>114</v>
      </c>
      <c r="S114" s="32" t="s">
        <v>20</v>
      </c>
      <c r="T114" s="41" t="s">
        <v>115</v>
      </c>
      <c r="U114" s="31">
        <v>60890</v>
      </c>
      <c r="V114" s="235" t="s">
        <v>327</v>
      </c>
      <c r="W114" s="34" t="str">
        <f>_xlfn.XLOOKUP(Control[[#This Row],[No.Remedy]],Tabla2[ID de la incidencia*+],Tabla2[Usuario asignado+],"No encontrado",0)</f>
        <v>Luis Enrique Rojas Villota</v>
      </c>
      <c r="X114" t="str">
        <f>_xlfn.XLOOKUP(Control[[#This Row],[No.Remedy]],Tabla2[ID de la incidencia*+],Tabla2[Estado*],"No encontrado",0)</f>
        <v>En curso</v>
      </c>
      <c r="Y114" s="111"/>
      <c r="Z114">
        <v>3</v>
      </c>
      <c r="AA114" s="151">
        <v>45900</v>
      </c>
    </row>
    <row r="115" spans="1:27" hidden="1" x14ac:dyDescent="0.25">
      <c r="A115" s="9">
        <f>+ROW()-13</f>
        <v>102</v>
      </c>
      <c r="B115" s="9" t="s">
        <v>1205</v>
      </c>
      <c r="C115" s="56" t="s">
        <v>1216</v>
      </c>
      <c r="D115" s="56"/>
      <c r="E115" s="29">
        <v>45902</v>
      </c>
      <c r="F115" s="123"/>
      <c r="G115" s="61">
        <f ca="1">HOY-Control[[#This Row],[Fecha Inicial]]</f>
        <v>9</v>
      </c>
      <c r="H115" s="29"/>
      <c r="I115" s="124"/>
      <c r="J115" s="124"/>
      <c r="K115" s="123"/>
      <c r="L115" s="123"/>
      <c r="M115" s="2"/>
      <c r="N115" s="29" t="s">
        <v>17</v>
      </c>
      <c r="O115" s="2"/>
      <c r="P115" s="29" t="s">
        <v>736</v>
      </c>
      <c r="Q115" s="40" t="s">
        <v>21</v>
      </c>
      <c r="R115" s="123" t="s">
        <v>283</v>
      </c>
      <c r="S115" s="29" t="s">
        <v>18</v>
      </c>
      <c r="T115" s="40" t="s">
        <v>1027</v>
      </c>
      <c r="U115" s="2"/>
      <c r="V115" s="288" t="s">
        <v>1204</v>
      </c>
      <c r="W115" s="2" t="str">
        <f>_xlfn.XLOOKUP(Control[[#This Row],[No.Remedy]],Tabla2[ID de la incidencia*+],Tabla2[Usuario asignado+],"No encontrado",0)</f>
        <v>Luis Enrique Rojas Villota</v>
      </c>
      <c r="X115" t="str">
        <f>_xlfn.XLOOKUP(Control[[#This Row],[No.Remedy]],Tabla2[ID de la incidencia*+],Tabla2[Estado*],"No encontrado",0)</f>
        <v>Resuelto</v>
      </c>
      <c r="Y115" s="110"/>
    </row>
    <row r="116" spans="1:27" hidden="1" x14ac:dyDescent="0.25">
      <c r="A116" s="247">
        <f>+ROW()-13</f>
        <v>103</v>
      </c>
      <c r="B116" s="247" t="s">
        <v>1208</v>
      </c>
      <c r="C116" s="248" t="s">
        <v>1218</v>
      </c>
      <c r="D116" s="248"/>
      <c r="E116" s="250">
        <v>45903</v>
      </c>
      <c r="F116" s="287"/>
      <c r="G116" s="249">
        <f ca="1">HOY-Control[[#This Row],[Fecha Inicial]]</f>
        <v>8</v>
      </c>
      <c r="H116" s="250"/>
      <c r="I116" s="251"/>
      <c r="J116" s="251"/>
      <c r="K116" s="287"/>
      <c r="L116" s="287"/>
      <c r="M116" s="21"/>
      <c r="N116" s="250" t="s">
        <v>17</v>
      </c>
      <c r="O116" s="21"/>
      <c r="P116" s="250" t="s">
        <v>736</v>
      </c>
      <c r="Q116" s="40" t="s">
        <v>21</v>
      </c>
      <c r="R116" s="287" t="s">
        <v>1217</v>
      </c>
      <c r="S116" s="250" t="s">
        <v>18</v>
      </c>
      <c r="T116" s="153" t="s">
        <v>70</v>
      </c>
      <c r="U116" s="21"/>
      <c r="V116" s="288" t="s">
        <v>1212</v>
      </c>
      <c r="W116" s="21" t="str">
        <f>_xlfn.XLOOKUP(Control[[#This Row],[No.Remedy]],Tabla2[ID de la incidencia*+],Tabla2[Usuario asignado+],"No encontrado",0)</f>
        <v>Luis Enrique Rojas Villota</v>
      </c>
      <c r="X116" t="str">
        <f>_xlfn.XLOOKUP(Control[[#This Row],[No.Remedy]],Tabla2[ID de la incidencia*+],Tabla2[Estado*],"No encontrado",0)</f>
        <v>Resuelto</v>
      </c>
      <c r="Y116" s="154"/>
    </row>
    <row r="117" spans="1:27" hidden="1" x14ac:dyDescent="0.25">
      <c r="A117" s="31">
        <v>85</v>
      </c>
      <c r="B117" s="31" t="s">
        <v>357</v>
      </c>
      <c r="C117" s="34" t="s">
        <v>358</v>
      </c>
      <c r="D117" s="34"/>
      <c r="E117" s="32">
        <v>45432</v>
      </c>
      <c r="F117" s="4"/>
      <c r="G117" s="33">
        <f ca="1">HOY-Control[[#This Row],[Fecha Inicial]]</f>
        <v>479</v>
      </c>
      <c r="H117" s="31" t="s">
        <v>187</v>
      </c>
      <c r="I117" s="3">
        <v>0</v>
      </c>
      <c r="J117" s="3"/>
      <c r="K117" s="4"/>
      <c r="L117" s="32"/>
      <c r="M117" s="252"/>
      <c r="N117" s="32" t="s">
        <v>17</v>
      </c>
      <c r="O117" s="70" t="s">
        <v>937</v>
      </c>
      <c r="P117" s="32" t="s">
        <v>736</v>
      </c>
      <c r="Q117" s="41" t="s">
        <v>21</v>
      </c>
      <c r="R117" s="4" t="s">
        <v>285</v>
      </c>
      <c r="S117" s="32" t="s">
        <v>22</v>
      </c>
      <c r="T117" s="41" t="s">
        <v>173</v>
      </c>
      <c r="U117" s="31">
        <v>133600</v>
      </c>
      <c r="V117" s="67">
        <v>0</v>
      </c>
      <c r="W117" s="252" t="str">
        <f>_xlfn.XLOOKUP(Control[[#This Row],[No.Remedy]],Tabla2[ID de la incidencia*+],Tabla2[Usuario asignado+],"No encontrado",0)</f>
        <v>No encontrado</v>
      </c>
      <c r="X117" t="str">
        <f>_xlfn.XLOOKUP(Control[[#This Row],[No.Remedy]],Tabla2[ID de la incidencia*+],Tabla2[Estado*],"No encontrado",0)</f>
        <v>No encontrado</v>
      </c>
      <c r="Y117" s="111"/>
      <c r="AA117" s="151"/>
    </row>
    <row r="118" spans="1:27" x14ac:dyDescent="0.25">
      <c r="A118" s="31">
        <f>+ROW()-13</f>
        <v>105</v>
      </c>
      <c r="B118" s="31" t="s">
        <v>332</v>
      </c>
      <c r="C118" s="34" t="s">
        <v>333</v>
      </c>
      <c r="D118" s="34"/>
      <c r="E118" s="4">
        <v>45358</v>
      </c>
      <c r="F118" s="4"/>
      <c r="G118" s="33">
        <f ca="1">HOY-Control[[#This Row],[Fecha Inicial]]</f>
        <v>553</v>
      </c>
      <c r="H118" s="31" t="s">
        <v>334</v>
      </c>
      <c r="I118" s="3">
        <v>0</v>
      </c>
      <c r="J118" s="3"/>
      <c r="K118" s="4"/>
      <c r="L118" s="31" t="s">
        <v>134</v>
      </c>
      <c r="M118" s="109">
        <v>839</v>
      </c>
      <c r="N118" s="32" t="s">
        <v>17</v>
      </c>
      <c r="O118" s="58" t="s">
        <v>1081</v>
      </c>
      <c r="P118" s="32" t="s">
        <v>68</v>
      </c>
      <c r="Q118" s="41" t="s">
        <v>30</v>
      </c>
      <c r="R118" s="41" t="s">
        <v>336</v>
      </c>
      <c r="S118" s="32" t="s">
        <v>20</v>
      </c>
      <c r="T118" s="41" t="s">
        <v>183</v>
      </c>
      <c r="U118" s="31">
        <v>60879</v>
      </c>
      <c r="V118" s="36" t="s">
        <v>337</v>
      </c>
      <c r="W118" s="34" t="str">
        <f>_xlfn.XLOOKUP(Control[[#This Row],[No.Remedy]],Tabla2[ID de la incidencia*+],Tabla2[Usuario asignado+],"No encontrado",0)</f>
        <v>Luis Enrique Rojas Villota</v>
      </c>
      <c r="X118" t="str">
        <f>_xlfn.XLOOKUP(Control[[#This Row],[No.Remedy]],Tabla2[ID de la incidencia*+],Tabla2[Estado*],"No encontrado",0)</f>
        <v>En curso</v>
      </c>
      <c r="Y118" s="111"/>
      <c r="Z118">
        <v>2</v>
      </c>
      <c r="AA118" s="151">
        <v>45900</v>
      </c>
    </row>
    <row r="119" spans="1:27" hidden="1" x14ac:dyDescent="0.25">
      <c r="A119" s="9">
        <f>+ROW()-13</f>
        <v>106</v>
      </c>
      <c r="B119" s="9" t="s">
        <v>1230</v>
      </c>
      <c r="C119" s="56" t="s">
        <v>1268</v>
      </c>
      <c r="D119" s="56"/>
      <c r="E119" s="29">
        <v>45908</v>
      </c>
      <c r="F119" s="123"/>
      <c r="G119" s="61">
        <f ca="1">HOY-Control[[#This Row],[Fecha Inicial]]</f>
        <v>3</v>
      </c>
      <c r="H119" s="29"/>
      <c r="I119" s="124"/>
      <c r="J119" s="124"/>
      <c r="K119" s="123"/>
      <c r="L119" s="123"/>
      <c r="M119" s="2"/>
      <c r="N119" s="29" t="s">
        <v>17</v>
      </c>
      <c r="O119" s="2"/>
      <c r="P119" s="29" t="s">
        <v>736</v>
      </c>
      <c r="Q119" s="40" t="s">
        <v>21</v>
      </c>
      <c r="R119" s="123" t="s">
        <v>283</v>
      </c>
      <c r="S119" s="29" t="s">
        <v>18</v>
      </c>
      <c r="T119" s="40" t="s">
        <v>1027</v>
      </c>
      <c r="U119" s="2"/>
      <c r="V119" s="130" t="s">
        <v>1233</v>
      </c>
      <c r="W119" s="2" t="str">
        <f>_xlfn.XLOOKUP(Control[[#This Row],[No.Remedy]],Tabla2[ID de la incidencia*+],Tabla2[Usuario asignado+],"No encontrado",0)</f>
        <v>Luis Enrique Rojas Villota</v>
      </c>
      <c r="X119" t="str">
        <f>_xlfn.XLOOKUP(Control[[#This Row],[No.Remedy]],Tabla2[ID de la incidencia*+],Tabla2[Estado*],"No encontrado",0)</f>
        <v>Resuelto</v>
      </c>
      <c r="Y119" s="110"/>
    </row>
    <row r="120" spans="1:27" x14ac:dyDescent="0.25">
      <c r="A120" s="139">
        <f>+ROW()-13</f>
        <v>107</v>
      </c>
      <c r="B120" s="139" t="s">
        <v>395</v>
      </c>
      <c r="C120" s="140" t="s">
        <v>396</v>
      </c>
      <c r="D120" s="140"/>
      <c r="E120" s="4">
        <v>45257</v>
      </c>
      <c r="F120" s="142"/>
      <c r="G120" s="143">
        <f ca="1">HOY-Control[[#This Row],[Fecha Inicial]]</f>
        <v>654</v>
      </c>
      <c r="H120" s="141"/>
      <c r="I120" s="144"/>
      <c r="J120" s="144"/>
      <c r="K120" s="142"/>
      <c r="L120" s="141" t="s">
        <v>134</v>
      </c>
      <c r="M120" s="139">
        <v>674</v>
      </c>
      <c r="N120" s="141" t="s">
        <v>17</v>
      </c>
      <c r="O120" s="145" t="s">
        <v>1112</v>
      </c>
      <c r="P120" s="141" t="s">
        <v>68</v>
      </c>
      <c r="Q120" s="146" t="s">
        <v>30</v>
      </c>
      <c r="R120" s="146" t="s">
        <v>263</v>
      </c>
      <c r="S120" s="141" t="s">
        <v>20</v>
      </c>
      <c r="T120" s="146" t="s">
        <v>70</v>
      </c>
      <c r="U120" s="139">
        <v>60870</v>
      </c>
      <c r="V120" s="274" t="s">
        <v>397</v>
      </c>
      <c r="W120" s="140" t="str">
        <f>_xlfn.XLOOKUP(Control[[#This Row],[No.Remedy]],Tabla2[ID de la incidencia*+],Tabla2[Usuario asignado+],"No encontrado",0)</f>
        <v>Luis Enrique Rojas Villota</v>
      </c>
      <c r="X120" t="str">
        <f>_xlfn.XLOOKUP(Control[[#This Row],[No.Remedy]],Tabla2[ID de la incidencia*+],Tabla2[Estado*],"No encontrado",0)</f>
        <v>En curso</v>
      </c>
      <c r="Y120" s="148"/>
      <c r="Z120">
        <v>1</v>
      </c>
      <c r="AA120" s="151">
        <v>45900</v>
      </c>
    </row>
  </sheetData>
  <conditionalFormatting sqref="P16">
    <cfRule type="cellIs" dxfId="251" priority="92" operator="equal">
      <formula>"Finalizado"</formula>
    </cfRule>
    <cfRule type="cellIs" dxfId="250" priority="93" operator="equal">
      <formula>"En curso"</formula>
    </cfRule>
  </conditionalFormatting>
  <conditionalFormatting sqref="Q17:Q120">
    <cfRule type="expression" dxfId="249" priority="3">
      <formula>$Q17="1.Ajuste de Requerimiento"</formula>
    </cfRule>
    <cfRule type="expression" dxfId="248" priority="4">
      <formula>$Q17="3.Propuesta Comercial"</formula>
    </cfRule>
    <cfRule type="expression" dxfId="247" priority="5">
      <formula>$Q17="0_Cancelado"</formula>
    </cfRule>
    <cfRule type="expression" dxfId="246" priority="37">
      <formula>$Q17="10.En Producción"</formula>
    </cfRule>
    <cfRule type="expression" dxfId="245" priority="38">
      <formula>$Q17="2.Reunión de entendimiento"</formula>
    </cfRule>
    <cfRule type="expression" dxfId="244" priority="91" stopIfTrue="1">
      <formula>$Q17="4. Pte Comité Compras"</formula>
    </cfRule>
    <cfRule type="expression" dxfId="243" priority="94">
      <formula>$Q17="5.Entrega Desarrollo"</formula>
    </cfRule>
    <cfRule type="expression" dxfId="242" priority="95">
      <formula>$Q17="6.Instalación en Pruebas"</formula>
    </cfRule>
    <cfRule type="expression" dxfId="241" priority="96">
      <formula>$Q17="7.Elaboración Escenarios de prueba"</formula>
    </cfRule>
    <cfRule type="expression" dxfId="240" priority="97">
      <formula>$Q17="8.Certificación Escenarios Pruebas"</formula>
    </cfRule>
    <cfRule type="expression" dxfId="239" priority="98">
      <formula>$Q17="9.Autorización Paso a Producción"</formula>
    </cfRule>
  </conditionalFormatting>
  <conditionalFormatting sqref="V1 AA7">
    <cfRule type="expression" dxfId="238" priority="227" stopIfTrue="1">
      <formula>#REF!="TI"</formula>
    </cfRule>
    <cfRule type="expression" dxfId="237" priority="228" stopIfTrue="1">
      <formula>#REF!="Ingesoft"</formula>
    </cfRule>
    <cfRule type="expression" dxfId="236" priority="229" stopIfTrue="1">
      <formula>#REF!="ITC"</formula>
    </cfRule>
  </conditionalFormatting>
  <conditionalFormatting sqref="AA7">
    <cfRule type="expression" dxfId="235" priority="230" stopIfTrue="1">
      <formula>$S7="0_Cancelado"</formula>
    </cfRule>
    <cfRule type="expression" dxfId="234" priority="231" stopIfTrue="1">
      <formula>$S7="1.Ajuste de Requerimiento"</formula>
    </cfRule>
    <cfRule type="expression" dxfId="233" priority="232" stopIfTrue="1">
      <formula>$S7="2.Reunión de entendimiento"</formula>
    </cfRule>
    <cfRule type="expression" dxfId="232" priority="233" stopIfTrue="1">
      <formula>$S7="3.Propuesta Comercial"</formula>
    </cfRule>
    <cfRule type="expression" dxfId="231" priority="234" stopIfTrue="1">
      <formula>$S7="5.Entrega Desarrollo"</formula>
    </cfRule>
    <cfRule type="expression" dxfId="230" priority="235" stopIfTrue="1">
      <formula>$S7="6.Instalación en Pruebas"</formula>
    </cfRule>
    <cfRule type="expression" dxfId="229" priority="236" stopIfTrue="1">
      <formula>$S7="7.Elaboración Escenarios de prueba"</formula>
    </cfRule>
    <cfRule type="expression" dxfId="228" priority="237" stopIfTrue="1">
      <formula>$S7="8.Certificación Escenarios Pruebas"</formula>
    </cfRule>
    <cfRule type="expression" dxfId="227" priority="238" stopIfTrue="1">
      <formula>$S7="9.Autorización Paso a Producción"</formula>
    </cfRule>
    <cfRule type="expression" dxfId="226" priority="239" stopIfTrue="1">
      <formula>$S7="10.En Producción"</formula>
    </cfRule>
  </conditionalFormatting>
  <conditionalFormatting sqref="Q1:Q4 Q6:Q8">
    <cfRule type="expression" dxfId="225" priority="243" stopIfTrue="1">
      <formula>$Q1="7.Elaboración Escenarios de prueba"</formula>
    </cfRule>
  </conditionalFormatting>
  <conditionalFormatting sqref="Q1:Q4 Q6:Q10">
    <cfRule type="expression" dxfId="224" priority="244" stopIfTrue="1">
      <formula>$Q1="0_Cancelado"</formula>
    </cfRule>
    <cfRule type="expression" dxfId="223" priority="245" stopIfTrue="1">
      <formula>$Q1="1.Ajuste de Requerimiento"</formula>
    </cfRule>
    <cfRule type="expression" dxfId="222" priority="246" stopIfTrue="1">
      <formula>$Q1="2.Reunión de entendimiento"</formula>
    </cfRule>
    <cfRule type="expression" dxfId="221" priority="247" stopIfTrue="1">
      <formula>$Q1="3.Propuesta Comercial"</formula>
    </cfRule>
    <cfRule type="expression" dxfId="220" priority="248" stopIfTrue="1">
      <formula>$Q1="5.Entrega Desarrollo"</formula>
    </cfRule>
    <cfRule type="expression" dxfId="219" priority="249" stopIfTrue="1">
      <formula>$Q1="6.Instalación en Pruebas"</formula>
    </cfRule>
    <cfRule type="expression" dxfId="218" priority="250" stopIfTrue="1">
      <formula>$Q1="8.Certificación Escenarios Pruebas"</formula>
    </cfRule>
    <cfRule type="expression" dxfId="217" priority="251" stopIfTrue="1">
      <formula>$Q1="9.Autorización Paso a Producción"</formula>
    </cfRule>
    <cfRule type="expression" dxfId="216" priority="252" stopIfTrue="1">
      <formula>$Q1="10.En Producción"</formula>
    </cfRule>
  </conditionalFormatting>
  <conditionalFormatting sqref="Q5">
    <cfRule type="expression" dxfId="215" priority="26" stopIfTrue="1">
      <formula>$Q5="4. Pte Comité Compras"</formula>
    </cfRule>
    <cfRule type="expression" dxfId="214" priority="27" stopIfTrue="1">
      <formula>$Q5="0_Cancelado"</formula>
    </cfRule>
    <cfRule type="expression" dxfId="213" priority="28" stopIfTrue="1">
      <formula>$Q5="1.Ajuste de Requerimiento"</formula>
    </cfRule>
    <cfRule type="expression" dxfId="212" priority="29" stopIfTrue="1">
      <formula>$Q5="2.Reunión de entendimiento"</formula>
    </cfRule>
    <cfRule type="expression" dxfId="211" priority="30" stopIfTrue="1">
      <formula>$Q5="3.Propuesta Comercial"</formula>
    </cfRule>
    <cfRule type="expression" dxfId="210" priority="31" stopIfTrue="1">
      <formula>$Q5="5.Entrega Desarrollo"</formula>
    </cfRule>
    <cfRule type="expression" dxfId="209" priority="32" stopIfTrue="1">
      <formula>$Q5="6.Instalación en Pruebas"</formula>
    </cfRule>
    <cfRule type="expression" dxfId="208" priority="33" stopIfTrue="1">
      <formula>$Q5="7.Elaboración Escenarios de prueba"</formula>
    </cfRule>
    <cfRule type="expression" dxfId="207" priority="34" stopIfTrue="1">
      <formula>$Q5="8.Certificación Escenarios Pruebas"</formula>
    </cfRule>
    <cfRule type="expression" dxfId="206" priority="35" stopIfTrue="1">
      <formula>$Q5="9.Autorización Paso a Producción"</formula>
    </cfRule>
    <cfRule type="expression" dxfId="205" priority="36" stopIfTrue="1">
      <formula>$Q5="10.En Producción"</formula>
    </cfRule>
  </conditionalFormatting>
  <conditionalFormatting sqref="Q5 A16:AA120">
    <cfRule type="expression" dxfId="204" priority="99" stopIfTrue="1">
      <formula>$S5="TI"</formula>
    </cfRule>
    <cfRule type="expression" dxfId="203" priority="100" stopIfTrue="1">
      <formula>$S5="ITC"</formula>
    </cfRule>
    <cfRule type="expression" dxfId="202" priority="268" stopIfTrue="1">
      <formula>$S5="Ingesoft"</formula>
    </cfRule>
  </conditionalFormatting>
  <conditionalFormatting sqref="Q11">
    <cfRule type="expression" dxfId="201" priority="12" stopIfTrue="1">
      <formula>$Q11="4. Pte Comité Compras"</formula>
    </cfRule>
    <cfRule type="expression" dxfId="200" priority="13" stopIfTrue="1">
      <formula>$Q11="0_Cancelado"</formula>
    </cfRule>
    <cfRule type="expression" dxfId="199" priority="14" stopIfTrue="1">
      <formula>$Q11="1.Ajuste de Requerimiento"</formula>
    </cfRule>
    <cfRule type="expression" dxfId="198" priority="15" stopIfTrue="1">
      <formula>$Q11="2.Reunión de entendimiento"</formula>
    </cfRule>
    <cfRule type="expression" dxfId="197" priority="16" stopIfTrue="1">
      <formula>$Q11="3.Propuesta Comercial"</formula>
    </cfRule>
    <cfRule type="expression" dxfId="196" priority="17" stopIfTrue="1">
      <formula>$Q11="5.Entrega Desarrollo"</formula>
    </cfRule>
    <cfRule type="expression" dxfId="195" priority="18" stopIfTrue="1">
      <formula>$Q11="6.Instalación en Pruebas"</formula>
    </cfRule>
    <cfRule type="expression" dxfId="194" priority="19" stopIfTrue="1">
      <formula>$Q11="7.Elaboración Escenarios de prueba"</formula>
    </cfRule>
    <cfRule type="expression" dxfId="193" priority="20" stopIfTrue="1">
      <formula>$Q11="8.Certificación Escenarios Pruebas"</formula>
    </cfRule>
    <cfRule type="expression" dxfId="192" priority="21" stopIfTrue="1">
      <formula>$Q11="9.Autorización Paso a Producción"</formula>
    </cfRule>
    <cfRule type="expression" dxfId="191" priority="22" stopIfTrue="1">
      <formula>$Q11="10.En Producción"</formula>
    </cfRule>
  </conditionalFormatting>
  <conditionalFormatting sqref="Q11">
    <cfRule type="expression" dxfId="190" priority="23" stopIfTrue="1">
      <formula>$S11="ITC"</formula>
    </cfRule>
    <cfRule type="expression" dxfId="189" priority="24" stopIfTrue="1">
      <formula>$S11="Ingesoft"</formula>
    </cfRule>
    <cfRule type="expression" dxfId="188" priority="25" stopIfTrue="1">
      <formula>$S11="TI"</formula>
    </cfRule>
  </conditionalFormatting>
  <conditionalFormatting sqref="G17:G120">
    <cfRule type="cellIs" dxfId="187" priority="39" operator="lessThan">
      <formula>38</formula>
    </cfRule>
    <cfRule type="cellIs" dxfId="186" priority="40" operator="between">
      <formula>39</formula>
      <formula>45</formula>
    </cfRule>
    <cfRule type="cellIs" dxfId="185" priority="90" operator="greaterThan">
      <formula>45</formula>
    </cfRule>
  </conditionalFormatting>
  <conditionalFormatting sqref="R1:T11">
    <cfRule type="uniqueValues" dxfId="184" priority="1"/>
    <cfRule type="duplicateValues" dxfId="183" priority="2"/>
  </conditionalFormatting>
  <conditionalFormatting sqref="B17:B120">
    <cfRule type="duplicateValues" dxfId="182" priority="392"/>
  </conditionalFormatting>
  <dataValidations count="1">
    <dataValidation type="list" allowBlank="1" showInputMessage="1" showErrorMessage="1" sqref="AA7 Q11 Q5 Q17:Q120" xr:uid="{500A6C94-39F0-4A8B-8F39-46FB1595C596}">
      <formula1>$AA$2:$AA$13</formula1>
    </dataValidation>
  </dataValidations>
  <hyperlinks>
    <hyperlink ref="V107" r:id="rId1" xr:uid="{231C7795-1EB3-4CA2-B929-7C9C21ED9F9F}"/>
    <hyperlink ref="V96" r:id="rId2" xr:uid="{7D478484-472A-4C02-BD9E-D6F76DC4B19B}"/>
    <hyperlink ref="V37" r:id="rId3" xr:uid="{38270859-5AD8-47E5-80B3-939A0BC63B0A}"/>
    <hyperlink ref="V38" r:id="rId4" xr:uid="{AD7D0794-BD55-42E6-B4A2-ED902DD3C843}"/>
    <hyperlink ref="V39" r:id="rId5" xr:uid="{FFF75C52-C717-45FD-A423-8ABE331A249A}"/>
    <hyperlink ref="V40" r:id="rId6" xr:uid="{E59EACCE-0FBF-4AB6-B740-1E452C8190D2}"/>
    <hyperlink ref="V94" r:id="rId7" xr:uid="{545ECE6C-D6A2-448B-80DA-352276089C5D}"/>
    <hyperlink ref="V118" r:id="rId8" xr:uid="{342B963A-EF81-4D6E-BCA2-91BD6FC33259}"/>
    <hyperlink ref="V112" r:id="rId9" xr:uid="{3E28973E-3CE4-4973-B2D1-354AD549F053}"/>
    <hyperlink ref="V48" r:id="rId10" xr:uid="{3F6E5CA5-B407-4788-9A0D-939213868B9D}"/>
    <hyperlink ref="V41" r:id="rId11" xr:uid="{6F62CEF9-C454-4287-8F2D-77B977800E12}"/>
    <hyperlink ref="V42" r:id="rId12" xr:uid="{1C45198E-2C8E-44E0-A0D0-482B3FA61EBC}"/>
    <hyperlink ref="V43" r:id="rId13" xr:uid="{CB28C2F1-AC4F-4A5D-8BA0-ED67A679245B}"/>
    <hyperlink ref="V90" r:id="rId14" xr:uid="{593E1F9A-A58A-460B-9334-0D5E11721AAB}"/>
    <hyperlink ref="V82" r:id="rId15" xr:uid="{CD89F850-2AD3-4BD3-9688-4D14E2BE8C33}"/>
    <hyperlink ref="V44" r:id="rId16" xr:uid="{793E05BB-E61B-4626-A20C-14E8FFF413BB}"/>
    <hyperlink ref="V89" r:id="rId17" xr:uid="{AFFA4BCA-4F84-46AE-A7B0-CD648BC74D0D}"/>
    <hyperlink ref="V83" r:id="rId18" xr:uid="{C5554C68-6E25-4361-80E7-A54DC0479B8F}"/>
    <hyperlink ref="V73" r:id="rId19" xr:uid="{3DF72051-848B-4E0B-8F4B-09653BEB7D5A}"/>
    <hyperlink ref="V101" r:id="rId20" xr:uid="{592ED296-E297-42A6-8E60-FA86B485CB73}"/>
    <hyperlink ref="V93" r:id="rId21" xr:uid="{6121896B-7F36-43FB-B667-76074F6F466B}"/>
    <hyperlink ref="V91" r:id="rId22" xr:uid="{D7A788DA-A9BD-4C99-8D78-589324A24972}"/>
    <hyperlink ref="V46" r:id="rId23" xr:uid="{F320054F-D4FA-478A-9D5F-380595746509}"/>
    <hyperlink ref="V49" r:id="rId24" xr:uid="{66828D3C-0B73-4038-87F4-0FDA965DB74A}"/>
    <hyperlink ref="V95" r:id="rId25" xr:uid="{B6BD63D0-8951-42F5-B493-F9B5D517D556}"/>
    <hyperlink ref="V85" r:id="rId26" xr:uid="{9119840A-F889-4069-8683-83B5F52946EC}"/>
    <hyperlink ref="V106" r:id="rId27" xr:uid="{1D6749D7-F8C3-4733-9A2B-D8630B869A1C}"/>
    <hyperlink ref="V109" r:id="rId28" xr:uid="{186D1F2D-5460-4774-913A-E153AB7B6321}"/>
    <hyperlink ref="V108" r:id="rId29" xr:uid="{3DCE05CF-E788-4DFB-88B6-C13E92E082C4}"/>
    <hyperlink ref="V113" r:id="rId30" xr:uid="{1BAA1F06-8865-4EBD-ACC1-CE76A0A5039C}"/>
    <hyperlink ref="V62" r:id="rId31" xr:uid="{5AF7299C-C614-4DA2-BFAA-0AC7523AC21E}"/>
    <hyperlink ref="V114" r:id="rId32" xr:uid="{5A3A0EC9-4ADD-4850-A2F8-1815986196B0}"/>
    <hyperlink ref="V111" r:id="rId33" xr:uid="{23E742CA-4B50-4DA2-B2AE-45CED648B456}"/>
    <hyperlink ref="V29" r:id="rId34" xr:uid="{315B456D-2D70-4D6D-BA25-0DA146ECCBB0}"/>
    <hyperlink ref="V88" r:id="rId35" xr:uid="{98227F99-8B80-4AAD-B7D2-C53B621B4CD3}"/>
    <hyperlink ref="V110" r:id="rId36" xr:uid="{78CD8A07-97AC-4721-B42A-0DA588A9DFC5}"/>
    <hyperlink ref="V47" r:id="rId37" xr:uid="{E1B20FE6-1412-4C47-910B-6F4C15C24DD3}"/>
    <hyperlink ref="V120" r:id="rId38" xr:uid="{3F93CE9D-450F-41F8-8686-7A317BD74F31}"/>
    <hyperlink ref="V103" r:id="rId39" xr:uid="{40567275-AF47-4666-8E0F-8E72363D2882}"/>
    <hyperlink ref="V30" r:id="rId40" xr:uid="{4D744E9D-C382-4CFD-9BD3-89ADFEB12D47}"/>
    <hyperlink ref="V100" r:id="rId41" xr:uid="{D61F504B-6C11-441E-89C3-4008A1B8A010}"/>
    <hyperlink ref="V92" r:id="rId42" xr:uid="{FB5B1976-D591-495B-BB2B-57C80B10A0C9}"/>
    <hyperlink ref="V45" r:id="rId43" xr:uid="{E8A3E42B-A1F1-4620-9ABA-CE117E17ABB5}"/>
    <hyperlink ref="V102" r:id="rId44" xr:uid="{AD1AC437-4AA6-4017-8BC6-0700B9902DEA}"/>
    <hyperlink ref="V105" r:id="rId45" xr:uid="{F257C916-2C86-4377-9E79-08AAB61AE911}"/>
    <hyperlink ref="V86" r:id="rId46" xr:uid="{28A21B09-5612-49AA-83A9-6F6E51ADD095}"/>
    <hyperlink ref="V98" r:id="rId47" xr:uid="{34EDFDD9-D22C-4C83-B87B-33BCCD329BDD}"/>
    <hyperlink ref="V50" r:id="rId48" xr:uid="{2E0D9A70-FCC1-45A1-BD09-C855FC82574E}"/>
    <hyperlink ref="V51" r:id="rId49" xr:uid="{F3E30D9D-D8E2-4361-9C38-22C3C8E01D8B}"/>
    <hyperlink ref="V52" r:id="rId50" xr:uid="{33DC03A7-B248-4AAF-84D7-EC130CF0C141}"/>
    <hyperlink ref="V99" r:id="rId51" xr:uid="{E1634A55-43EA-4A1B-935A-B621FF724A91}"/>
    <hyperlink ref="V54" r:id="rId52" xr:uid="{E20792AC-EEB8-4FBF-AC31-D4F516202058}"/>
    <hyperlink ref="V87" r:id="rId53" xr:uid="{A12EC7EC-7A51-436F-AB54-48D09773E863}"/>
    <hyperlink ref="V104" r:id="rId54" xr:uid="{0CDAF701-BED9-48EA-A7E0-1263E0F6338F}"/>
    <hyperlink ref="V97" r:id="rId55" xr:uid="{794C3673-72E4-4112-840F-AB1C703F0BB5}"/>
    <hyperlink ref="V81" r:id="rId56" xr:uid="{BB1FBB6F-B837-49DA-8E91-7BAE3E2B5B12}"/>
    <hyperlink ref="V115" r:id="rId57" xr:uid="{A95721CB-B6DF-446D-B20D-FE388A7CDE75}"/>
    <hyperlink ref="V116" r:id="rId58" xr:uid="{155E5369-7135-4AB8-BB78-B21045FD54F5}"/>
    <hyperlink ref="V53" r:id="rId59" xr:uid="{26498B18-1A1B-4607-860C-8328FD8C095B}"/>
    <hyperlink ref="V55" r:id="rId60" xr:uid="{A3422727-FDEB-46DA-8D6D-AD462788BDBA}"/>
    <hyperlink ref="V119" r:id="rId61" xr:uid="{8DA87239-9FF6-4605-82FE-35BB4DBF9A44}"/>
    <hyperlink ref="V56" r:id="rId62" xr:uid="{9E4DEA9F-4800-4BC4-B9F7-C4A7B8581117}"/>
  </hyperlinks>
  <pageMargins left="0.7" right="0.7" top="0.75" bottom="0.75" header="0.3" footer="0.3"/>
  <pageSetup orientation="portrait" r:id="rId63"/>
  <drawing r:id="rId64"/>
  <legacyDrawing r:id="rId65"/>
  <controls>
    <mc:AlternateContent xmlns:mc="http://schemas.openxmlformats.org/markup-compatibility/2006">
      <mc:Choice Requires="x14">
        <control shapeId="1027" r:id="rId66" name="TextBox1">
          <controlPr defaultSize="0" autoLine="0" r:id="rId67">
            <anchor moveWithCells="1">
              <from>
                <xdr:col>1</xdr:col>
                <xdr:colOff>47625</xdr:colOff>
                <xdr:row>12</xdr:row>
                <xdr:rowOff>0</xdr:rowOff>
              </from>
              <to>
                <xdr:col>1</xdr:col>
                <xdr:colOff>1038225</xdr:colOff>
                <xdr:row>13</xdr:row>
                <xdr:rowOff>0</xdr:rowOff>
              </to>
            </anchor>
          </controlPr>
        </control>
      </mc:Choice>
      <mc:Fallback>
        <control shapeId="1027" r:id="rId66" name="TextBox1"/>
      </mc:Fallback>
    </mc:AlternateContent>
    <mc:AlternateContent xmlns:mc="http://schemas.openxmlformats.org/markup-compatibility/2006">
      <mc:Choice Requires="x14">
        <control shapeId="1028" r:id="rId68" name="TextBox2">
          <controlPr defaultSize="0" autoLine="0" r:id="rId69">
            <anchor moveWithCells="1">
              <from>
                <xdr:col>2</xdr:col>
                <xdr:colOff>66675</xdr:colOff>
                <xdr:row>12</xdr:row>
                <xdr:rowOff>0</xdr:rowOff>
              </from>
              <to>
                <xdr:col>2</xdr:col>
                <xdr:colOff>2181225</xdr:colOff>
                <xdr:row>13</xdr:row>
                <xdr:rowOff>0</xdr:rowOff>
              </to>
            </anchor>
          </controlPr>
        </control>
      </mc:Choice>
      <mc:Fallback>
        <control shapeId="1028" r:id="rId68" name="TextBox2"/>
      </mc:Fallback>
    </mc:AlternateContent>
  </controls>
  <tableParts count="2">
    <tablePart r:id="rId70"/>
    <tablePart r:id="rId71"/>
  </tableParts>
  <extLst>
    <ext xmlns:x14="http://schemas.microsoft.com/office/spreadsheetml/2009/9/main" uri="{78C0D931-6437-407d-A8EE-F0AAD7539E65}">
      <x14:conditionalFormattings>
        <x14:conditionalFormatting xmlns:xm="http://schemas.microsoft.com/office/excel/2006/main">
          <x14:cfRule type="iconSet" priority="393" id="{64DC5BDA-04DA-4D1B-A455-8785D4BCEA2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Y17:Y120</xm:sqref>
        </x14:conditionalFormatting>
      </x14:conditionalFormattings>
    </ext>
    <ext xmlns:x15="http://schemas.microsoft.com/office/spreadsheetml/2010/11/main" uri="{3A4CF648-6AED-40f4-86FF-DC5316D8AED3}">
      <x14:slicerList xmlns:x14="http://schemas.microsoft.com/office/spreadsheetml/2009/9/main">
        <x14:slicer r:id="rId7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31137-7755-41BF-8D45-F5DFBC6851A8}">
  <sheetPr codeName="Hoja11"/>
  <dimension ref="A1:J49"/>
  <sheetViews>
    <sheetView topLeftCell="A28" workbookViewId="0">
      <selection activeCell="D16" sqref="D16"/>
    </sheetView>
  </sheetViews>
  <sheetFormatPr baseColWidth="10" defaultRowHeight="15" x14ac:dyDescent="0.25"/>
  <cols>
    <col min="2" max="2" width="16.28515625" bestFit="1" customWidth="1"/>
    <col min="3" max="3" width="60.28515625" customWidth="1"/>
    <col min="4" max="4" width="33.28515625" bestFit="1" customWidth="1"/>
    <col min="5" max="5" width="19.7109375" customWidth="1"/>
    <col min="6" max="6" width="109.42578125" customWidth="1"/>
    <col min="7" max="7" width="12.42578125" customWidth="1"/>
    <col min="8" max="8" width="19.140625" customWidth="1"/>
    <col min="9" max="9" width="20" customWidth="1"/>
  </cols>
  <sheetData>
    <row r="1" spans="1:10" x14ac:dyDescent="0.25">
      <c r="A1" s="262" t="s">
        <v>32</v>
      </c>
      <c r="B1" s="262" t="s">
        <v>33</v>
      </c>
      <c r="C1" s="263" t="s">
        <v>601</v>
      </c>
      <c r="D1" s="263" t="s">
        <v>45</v>
      </c>
      <c r="E1" s="263" t="s">
        <v>47</v>
      </c>
      <c r="F1" s="263" t="s">
        <v>1172</v>
      </c>
      <c r="G1" s="263" t="s">
        <v>1199</v>
      </c>
      <c r="H1" s="263" t="s">
        <v>48</v>
      </c>
      <c r="I1" s="263" t="s">
        <v>49</v>
      </c>
      <c r="J1" s="264" t="s">
        <v>50</v>
      </c>
    </row>
    <row r="2" spans="1:10" x14ac:dyDescent="0.25">
      <c r="A2" s="261">
        <v>1</v>
      </c>
      <c r="B2" s="177" t="s">
        <v>65</v>
      </c>
      <c r="C2" s="178" t="s">
        <v>66</v>
      </c>
      <c r="D2" s="181" t="s">
        <v>23</v>
      </c>
      <c r="E2" s="181" t="s">
        <v>69</v>
      </c>
      <c r="F2" s="181" t="s">
        <v>1173</v>
      </c>
      <c r="G2" s="181" t="s">
        <v>1198</v>
      </c>
      <c r="H2" s="170" t="s">
        <v>22</v>
      </c>
      <c r="I2" s="181" t="s">
        <v>70</v>
      </c>
      <c r="J2" s="177">
        <v>145910</v>
      </c>
    </row>
    <row r="3" spans="1:10" x14ac:dyDescent="0.25">
      <c r="A3" s="261">
        <v>2</v>
      </c>
      <c r="B3" s="162" t="s">
        <v>739</v>
      </c>
      <c r="C3" s="163" t="s">
        <v>744</v>
      </c>
      <c r="D3" s="91" t="s">
        <v>25</v>
      </c>
      <c r="E3" s="91" t="s">
        <v>745</v>
      </c>
      <c r="F3" s="91" t="s">
        <v>1188</v>
      </c>
      <c r="G3" s="91" t="s">
        <v>1198</v>
      </c>
      <c r="H3" s="166" t="s">
        <v>20</v>
      </c>
      <c r="I3" s="91" t="s">
        <v>81</v>
      </c>
      <c r="J3" s="162">
        <v>60985</v>
      </c>
    </row>
    <row r="4" spans="1:10" x14ac:dyDescent="0.25">
      <c r="A4" s="261">
        <v>3</v>
      </c>
      <c r="B4" s="9" t="s">
        <v>117</v>
      </c>
      <c r="C4" s="56" t="s">
        <v>118</v>
      </c>
      <c r="D4" s="40" t="s">
        <v>25</v>
      </c>
      <c r="E4" s="56" t="s">
        <v>120</v>
      </c>
      <c r="F4" s="56" t="s">
        <v>1174</v>
      </c>
      <c r="G4" s="56" t="s">
        <v>1198</v>
      </c>
      <c r="H4" s="29" t="s">
        <v>20</v>
      </c>
      <c r="I4" s="40" t="s">
        <v>70</v>
      </c>
      <c r="J4" s="9">
        <v>60982</v>
      </c>
    </row>
    <row r="5" spans="1:10" x14ac:dyDescent="0.25">
      <c r="A5" s="261">
        <v>4</v>
      </c>
      <c r="B5" s="177" t="s">
        <v>108</v>
      </c>
      <c r="C5" s="178" t="s">
        <v>594</v>
      </c>
      <c r="D5" s="181" t="s">
        <v>25</v>
      </c>
      <c r="E5" s="181" t="s">
        <v>283</v>
      </c>
      <c r="F5" s="56" t="s">
        <v>1174</v>
      </c>
      <c r="G5" s="56" t="s">
        <v>1198</v>
      </c>
      <c r="H5" s="170" t="s">
        <v>20</v>
      </c>
      <c r="I5" s="91" t="s">
        <v>1027</v>
      </c>
      <c r="J5" s="177">
        <v>60980</v>
      </c>
    </row>
    <row r="6" spans="1:10" x14ac:dyDescent="0.25">
      <c r="A6" s="261">
        <v>5</v>
      </c>
      <c r="B6" s="31" t="s">
        <v>87</v>
      </c>
      <c r="C6" s="34" t="s">
        <v>88</v>
      </c>
      <c r="D6" s="41" t="s">
        <v>25</v>
      </c>
      <c r="E6" s="41" t="s">
        <v>90</v>
      </c>
      <c r="F6" s="41" t="s">
        <v>1189</v>
      </c>
      <c r="G6" s="41">
        <v>45908</v>
      </c>
      <c r="H6" s="32" t="s">
        <v>22</v>
      </c>
      <c r="I6" s="41" t="s">
        <v>70</v>
      </c>
      <c r="J6" s="31">
        <v>145930</v>
      </c>
    </row>
    <row r="7" spans="1:10" x14ac:dyDescent="0.25">
      <c r="A7" s="261">
        <v>6</v>
      </c>
      <c r="B7" s="162" t="s">
        <v>1008</v>
      </c>
      <c r="C7" s="163" t="s">
        <v>1076</v>
      </c>
      <c r="D7" s="41" t="s">
        <v>25</v>
      </c>
      <c r="E7" s="91" t="s">
        <v>283</v>
      </c>
      <c r="F7" s="91" t="s">
        <v>1175</v>
      </c>
      <c r="G7" s="91" t="s">
        <v>1198</v>
      </c>
      <c r="H7" s="166" t="s">
        <v>20</v>
      </c>
      <c r="I7" s="91" t="s">
        <v>146</v>
      </c>
      <c r="J7" s="162">
        <v>60987</v>
      </c>
    </row>
    <row r="8" spans="1:10" x14ac:dyDescent="0.25">
      <c r="A8" s="261">
        <v>7</v>
      </c>
      <c r="B8" s="9" t="s">
        <v>1143</v>
      </c>
      <c r="C8" s="56" t="s">
        <v>1149</v>
      </c>
      <c r="D8" s="41" t="s">
        <v>25</v>
      </c>
      <c r="E8" s="40" t="s">
        <v>178</v>
      </c>
      <c r="F8" s="91" t="s">
        <v>1175</v>
      </c>
      <c r="G8" s="91" t="s">
        <v>1198</v>
      </c>
      <c r="H8" s="29" t="s">
        <v>20</v>
      </c>
      <c r="I8" s="40"/>
      <c r="J8" s="9">
        <v>60990</v>
      </c>
    </row>
    <row r="9" spans="1:10" x14ac:dyDescent="0.25">
      <c r="A9" s="261">
        <v>8</v>
      </c>
      <c r="B9" s="177" t="s">
        <v>372</v>
      </c>
      <c r="C9" s="178" t="s">
        <v>373</v>
      </c>
      <c r="D9" s="41" t="s">
        <v>25</v>
      </c>
      <c r="E9" s="181" t="s">
        <v>293</v>
      </c>
      <c r="F9" s="181" t="s">
        <v>1194</v>
      </c>
      <c r="G9" s="181">
        <v>45910</v>
      </c>
      <c r="H9" s="170" t="s">
        <v>20</v>
      </c>
      <c r="I9" s="181" t="s">
        <v>115</v>
      </c>
      <c r="J9" s="177" t="s">
        <v>72</v>
      </c>
    </row>
    <row r="10" spans="1:10" x14ac:dyDescent="0.25">
      <c r="A10" s="261">
        <v>9</v>
      </c>
      <c r="B10" s="177" t="s">
        <v>122</v>
      </c>
      <c r="C10" s="178" t="s">
        <v>123</v>
      </c>
      <c r="D10" s="181" t="s">
        <v>26</v>
      </c>
      <c r="E10" s="181" t="s">
        <v>616</v>
      </c>
      <c r="F10" s="181" t="s">
        <v>1174</v>
      </c>
      <c r="G10" s="181" t="s">
        <v>1198</v>
      </c>
      <c r="H10" s="170" t="s">
        <v>20</v>
      </c>
      <c r="I10" s="181" t="s">
        <v>70</v>
      </c>
      <c r="J10" s="177">
        <v>60958</v>
      </c>
    </row>
    <row r="11" spans="1:10" x14ac:dyDescent="0.25">
      <c r="A11" s="261">
        <v>10</v>
      </c>
      <c r="B11" s="31" t="s">
        <v>103</v>
      </c>
      <c r="C11" s="34" t="s">
        <v>104</v>
      </c>
      <c r="D11" s="41" t="s">
        <v>26</v>
      </c>
      <c r="E11" s="41" t="s">
        <v>106</v>
      </c>
      <c r="F11" s="41" t="s">
        <v>1176</v>
      </c>
      <c r="G11" s="41" t="s">
        <v>1198</v>
      </c>
      <c r="H11" s="32" t="s">
        <v>22</v>
      </c>
      <c r="I11" s="41" t="s">
        <v>70</v>
      </c>
      <c r="J11" s="31">
        <v>143966</v>
      </c>
    </row>
    <row r="12" spans="1:10" x14ac:dyDescent="0.25">
      <c r="A12" s="261">
        <v>11</v>
      </c>
      <c r="B12" s="253" t="s">
        <v>602</v>
      </c>
      <c r="C12" s="254" t="s">
        <v>603</v>
      </c>
      <c r="D12" s="256" t="s">
        <v>944</v>
      </c>
      <c r="E12" s="254" t="s">
        <v>120</v>
      </c>
      <c r="F12" s="56" t="s">
        <v>1177</v>
      </c>
      <c r="G12" s="248" t="s">
        <v>1198</v>
      </c>
      <c r="H12" s="255" t="s">
        <v>20</v>
      </c>
      <c r="I12" s="256" t="s">
        <v>70</v>
      </c>
      <c r="J12" s="253">
        <v>60981</v>
      </c>
    </row>
    <row r="13" spans="1:10" x14ac:dyDescent="0.25">
      <c r="A13" s="261">
        <v>12</v>
      </c>
      <c r="B13" s="206" t="s">
        <v>996</v>
      </c>
      <c r="C13" s="207" t="s">
        <v>1001</v>
      </c>
      <c r="D13" s="214" t="s">
        <v>944</v>
      </c>
      <c r="E13" s="214" t="s">
        <v>385</v>
      </c>
      <c r="F13" s="56" t="s">
        <v>1177</v>
      </c>
      <c r="G13" s="248" t="s">
        <v>1198</v>
      </c>
      <c r="H13" s="211" t="s">
        <v>20</v>
      </c>
      <c r="I13" s="214" t="s">
        <v>81</v>
      </c>
      <c r="J13" s="206">
        <v>60989</v>
      </c>
    </row>
    <row r="14" spans="1:10" x14ac:dyDescent="0.25">
      <c r="A14" s="261">
        <v>13</v>
      </c>
      <c r="B14" s="253" t="s">
        <v>1156</v>
      </c>
      <c r="C14" s="254" t="s">
        <v>1160</v>
      </c>
      <c r="D14" s="40" t="s">
        <v>944</v>
      </c>
      <c r="E14" s="256" t="s">
        <v>223</v>
      </c>
      <c r="F14" s="254" t="s">
        <v>1177</v>
      </c>
      <c r="G14" s="254" t="s">
        <v>1198</v>
      </c>
      <c r="H14" s="255" t="s">
        <v>20</v>
      </c>
      <c r="I14" s="256" t="s">
        <v>1161</v>
      </c>
      <c r="J14" s="253">
        <v>60991</v>
      </c>
    </row>
    <row r="15" spans="1:10" x14ac:dyDescent="0.25">
      <c r="A15" s="261">
        <v>14</v>
      </c>
      <c r="B15" s="31" t="s">
        <v>225</v>
      </c>
      <c r="C15" s="34" t="s">
        <v>226</v>
      </c>
      <c r="D15" s="41" t="s">
        <v>28</v>
      </c>
      <c r="E15" s="41" t="s">
        <v>283</v>
      </c>
      <c r="F15" s="41" t="s">
        <v>1179</v>
      </c>
      <c r="G15" s="41" t="s">
        <v>1198</v>
      </c>
      <c r="H15" s="32" t="s">
        <v>20</v>
      </c>
      <c r="I15" s="40" t="s">
        <v>1027</v>
      </c>
      <c r="J15" s="31">
        <v>60945</v>
      </c>
    </row>
    <row r="16" spans="1:10" x14ac:dyDescent="0.25">
      <c r="A16" s="261">
        <v>15</v>
      </c>
      <c r="B16" s="177" t="s">
        <v>318</v>
      </c>
      <c r="C16" s="178" t="s">
        <v>319</v>
      </c>
      <c r="D16" s="181" t="s">
        <v>29</v>
      </c>
      <c r="E16" s="181" t="s">
        <v>90</v>
      </c>
      <c r="F16" s="181" t="s">
        <v>1190</v>
      </c>
      <c r="G16" s="181" t="s">
        <v>1198</v>
      </c>
      <c r="H16" s="170" t="s">
        <v>20</v>
      </c>
      <c r="I16" s="181" t="s">
        <v>70</v>
      </c>
      <c r="J16" s="177">
        <v>60893</v>
      </c>
    </row>
    <row r="17" spans="1:10" x14ac:dyDescent="0.25">
      <c r="A17" s="261">
        <v>16</v>
      </c>
      <c r="B17" s="9" t="s">
        <v>280</v>
      </c>
      <c r="C17" s="56" t="s">
        <v>281</v>
      </c>
      <c r="D17" s="41" t="s">
        <v>30</v>
      </c>
      <c r="E17" s="40" t="s">
        <v>283</v>
      </c>
      <c r="F17" s="40" t="s">
        <v>1192</v>
      </c>
      <c r="G17" s="40" t="s">
        <v>1198</v>
      </c>
      <c r="H17" s="29" t="s">
        <v>20</v>
      </c>
      <c r="I17" s="40" t="s">
        <v>1027</v>
      </c>
      <c r="J17" s="9">
        <v>60930</v>
      </c>
    </row>
    <row r="18" spans="1:10" x14ac:dyDescent="0.25">
      <c r="A18" s="261">
        <v>17</v>
      </c>
      <c r="B18" s="257" t="s">
        <v>250</v>
      </c>
      <c r="C18" s="258" t="s">
        <v>251</v>
      </c>
      <c r="D18" s="41" t="s">
        <v>30</v>
      </c>
      <c r="E18" s="260" t="s">
        <v>283</v>
      </c>
      <c r="F18" s="260" t="s">
        <v>1191</v>
      </c>
      <c r="G18" s="260" t="s">
        <v>1198</v>
      </c>
      <c r="H18" s="259" t="s">
        <v>20</v>
      </c>
      <c r="I18" s="214" t="s">
        <v>1027</v>
      </c>
      <c r="J18" s="257">
        <v>60871</v>
      </c>
    </row>
    <row r="19" spans="1:10" x14ac:dyDescent="0.25">
      <c r="A19" s="261">
        <v>18</v>
      </c>
      <c r="B19" s="31" t="s">
        <v>255</v>
      </c>
      <c r="C19" s="34" t="s">
        <v>256</v>
      </c>
      <c r="D19" s="41" t="s">
        <v>30</v>
      </c>
      <c r="E19" s="41" t="s">
        <v>750</v>
      </c>
      <c r="F19" s="41" t="s">
        <v>1193</v>
      </c>
      <c r="G19" s="41" t="s">
        <v>1198</v>
      </c>
      <c r="H19" s="32" t="s">
        <v>20</v>
      </c>
      <c r="I19" s="40" t="s">
        <v>1027</v>
      </c>
      <c r="J19" s="31">
        <v>60927</v>
      </c>
    </row>
    <row r="20" spans="1:10" x14ac:dyDescent="0.25">
      <c r="A20" s="261">
        <v>19</v>
      </c>
      <c r="B20" s="177" t="s">
        <v>323</v>
      </c>
      <c r="C20" s="178" t="s">
        <v>324</v>
      </c>
      <c r="D20" s="181" t="s">
        <v>30</v>
      </c>
      <c r="E20" s="181" t="s">
        <v>114</v>
      </c>
      <c r="F20" s="181" t="s">
        <v>1195</v>
      </c>
      <c r="G20" s="181" t="s">
        <v>1198</v>
      </c>
      <c r="H20" s="170" t="s">
        <v>20</v>
      </c>
      <c r="I20" s="181" t="s">
        <v>115</v>
      </c>
      <c r="J20" s="177">
        <v>60890</v>
      </c>
    </row>
    <row r="21" spans="1:10" x14ac:dyDescent="0.25">
      <c r="A21" s="261">
        <v>20</v>
      </c>
      <c r="B21" s="195" t="s">
        <v>332</v>
      </c>
      <c r="C21" s="196" t="s">
        <v>333</v>
      </c>
      <c r="D21" s="202" t="s">
        <v>30</v>
      </c>
      <c r="E21" s="202" t="s">
        <v>336</v>
      </c>
      <c r="F21" s="202" t="s">
        <v>1197</v>
      </c>
      <c r="G21" s="202" t="s">
        <v>1198</v>
      </c>
      <c r="H21" s="197" t="s">
        <v>20</v>
      </c>
      <c r="I21" s="202" t="s">
        <v>183</v>
      </c>
      <c r="J21" s="195">
        <v>60879</v>
      </c>
    </row>
    <row r="22" spans="1:10" x14ac:dyDescent="0.25">
      <c r="A22" s="261">
        <v>21</v>
      </c>
      <c r="B22" s="265" t="s">
        <v>395</v>
      </c>
      <c r="C22" s="266" t="s">
        <v>396</v>
      </c>
      <c r="D22" s="267" t="s">
        <v>30</v>
      </c>
      <c r="E22" s="267" t="s">
        <v>263</v>
      </c>
      <c r="F22" s="267" t="s">
        <v>1196</v>
      </c>
      <c r="G22" s="267" t="s">
        <v>1198</v>
      </c>
      <c r="H22" s="268" t="s">
        <v>20</v>
      </c>
      <c r="I22" s="267" t="s">
        <v>70</v>
      </c>
      <c r="J22" s="265">
        <v>60870</v>
      </c>
    </row>
    <row r="28" spans="1:10" x14ac:dyDescent="0.25">
      <c r="A28" s="262" t="s">
        <v>32</v>
      </c>
      <c r="B28" s="262" t="s">
        <v>33</v>
      </c>
      <c r="C28" s="263" t="s">
        <v>601</v>
      </c>
      <c r="D28" s="263" t="s">
        <v>45</v>
      </c>
      <c r="E28" s="263" t="s">
        <v>47</v>
      </c>
      <c r="F28" s="263" t="s">
        <v>1172</v>
      </c>
      <c r="G28" s="263" t="s">
        <v>48</v>
      </c>
      <c r="H28" s="263" t="s">
        <v>49</v>
      </c>
      <c r="I28" s="264" t="s">
        <v>50</v>
      </c>
    </row>
    <row r="29" spans="1:10" x14ac:dyDescent="0.25">
      <c r="A29" s="261">
        <v>1</v>
      </c>
      <c r="B29" s="177" t="s">
        <v>65</v>
      </c>
      <c r="C29" s="178" t="s">
        <v>66</v>
      </c>
      <c r="D29" s="181" t="s">
        <v>23</v>
      </c>
      <c r="E29" s="181" t="s">
        <v>69</v>
      </c>
      <c r="F29" s="181" t="s">
        <v>1173</v>
      </c>
      <c r="G29" s="170" t="s">
        <v>22</v>
      </c>
      <c r="H29" s="181" t="s">
        <v>70</v>
      </c>
      <c r="I29" s="177">
        <v>145910</v>
      </c>
    </row>
    <row r="30" spans="1:10" x14ac:dyDescent="0.25">
      <c r="A30" s="261">
        <v>2</v>
      </c>
      <c r="B30" s="162" t="s">
        <v>739</v>
      </c>
      <c r="C30" s="163" t="s">
        <v>744</v>
      </c>
      <c r="D30" s="91" t="s">
        <v>25</v>
      </c>
      <c r="E30" s="91" t="s">
        <v>745</v>
      </c>
      <c r="F30" s="91" t="s">
        <v>1181</v>
      </c>
      <c r="G30" s="166" t="s">
        <v>20</v>
      </c>
      <c r="H30" s="91" t="s">
        <v>81</v>
      </c>
      <c r="I30" s="162">
        <v>60985</v>
      </c>
    </row>
    <row r="31" spans="1:10" x14ac:dyDescent="0.25">
      <c r="A31" s="261">
        <v>3</v>
      </c>
      <c r="B31" s="9" t="s">
        <v>117</v>
      </c>
      <c r="C31" s="56" t="s">
        <v>118</v>
      </c>
      <c r="D31" s="40" t="s">
        <v>25</v>
      </c>
      <c r="E31" s="56" t="s">
        <v>120</v>
      </c>
      <c r="F31" s="56" t="s">
        <v>1174</v>
      </c>
      <c r="G31" s="29" t="s">
        <v>20</v>
      </c>
      <c r="H31" s="40" t="s">
        <v>70</v>
      </c>
      <c r="I31" s="9">
        <v>60982</v>
      </c>
    </row>
    <row r="32" spans="1:10" x14ac:dyDescent="0.25">
      <c r="A32" s="261">
        <v>4</v>
      </c>
      <c r="B32" s="177" t="s">
        <v>108</v>
      </c>
      <c r="C32" s="178" t="s">
        <v>594</v>
      </c>
      <c r="D32" s="181" t="s">
        <v>25</v>
      </c>
      <c r="E32" s="181" t="s">
        <v>283</v>
      </c>
      <c r="F32" s="56" t="s">
        <v>1174</v>
      </c>
      <c r="G32" s="170" t="s">
        <v>20</v>
      </c>
      <c r="H32" s="91" t="s">
        <v>1027</v>
      </c>
      <c r="I32" s="177">
        <v>60980</v>
      </c>
    </row>
    <row r="33" spans="1:9" x14ac:dyDescent="0.25">
      <c r="A33" s="261">
        <v>5</v>
      </c>
      <c r="B33" s="31" t="s">
        <v>87</v>
      </c>
      <c r="C33" s="34" t="s">
        <v>88</v>
      </c>
      <c r="D33" s="41" t="s">
        <v>25</v>
      </c>
      <c r="E33" s="41" t="s">
        <v>90</v>
      </c>
      <c r="F33" s="41" t="s">
        <v>1174</v>
      </c>
      <c r="G33" s="32" t="s">
        <v>22</v>
      </c>
      <c r="H33" s="41" t="s">
        <v>70</v>
      </c>
      <c r="I33" s="31">
        <v>145930</v>
      </c>
    </row>
    <row r="34" spans="1:9" x14ac:dyDescent="0.25">
      <c r="A34" s="261">
        <v>6</v>
      </c>
      <c r="B34" s="162" t="s">
        <v>1008</v>
      </c>
      <c r="C34" s="163" t="s">
        <v>1076</v>
      </c>
      <c r="D34" s="41" t="s">
        <v>25</v>
      </c>
      <c r="E34" s="91" t="s">
        <v>283</v>
      </c>
      <c r="F34" s="91" t="s">
        <v>1175</v>
      </c>
      <c r="G34" s="166" t="s">
        <v>20</v>
      </c>
      <c r="H34" s="91" t="s">
        <v>146</v>
      </c>
      <c r="I34" s="162">
        <v>60987</v>
      </c>
    </row>
    <row r="35" spans="1:9" x14ac:dyDescent="0.25">
      <c r="A35" s="261">
        <v>7</v>
      </c>
      <c r="B35" s="9" t="s">
        <v>1143</v>
      </c>
      <c r="C35" s="56" t="s">
        <v>1149</v>
      </c>
      <c r="D35" s="41" t="s">
        <v>25</v>
      </c>
      <c r="E35" s="40" t="s">
        <v>178</v>
      </c>
      <c r="F35" s="91" t="s">
        <v>1175</v>
      </c>
      <c r="G35" s="29" t="s">
        <v>20</v>
      </c>
      <c r="H35" s="40"/>
      <c r="I35" s="9">
        <v>60990</v>
      </c>
    </row>
    <row r="36" spans="1:9" x14ac:dyDescent="0.25">
      <c r="A36" s="261">
        <v>8</v>
      </c>
      <c r="B36" s="177" t="s">
        <v>372</v>
      </c>
      <c r="C36" s="178" t="s">
        <v>373</v>
      </c>
      <c r="D36" s="41" t="s">
        <v>25</v>
      </c>
      <c r="E36" s="181" t="s">
        <v>293</v>
      </c>
      <c r="F36" s="181" t="s">
        <v>1178</v>
      </c>
      <c r="G36" s="170" t="s">
        <v>20</v>
      </c>
      <c r="H36" s="181" t="s">
        <v>115</v>
      </c>
      <c r="I36" s="177" t="s">
        <v>72</v>
      </c>
    </row>
    <row r="37" spans="1:9" x14ac:dyDescent="0.25">
      <c r="A37" s="261">
        <v>9</v>
      </c>
      <c r="B37" s="177" t="s">
        <v>122</v>
      </c>
      <c r="C37" s="178" t="s">
        <v>123</v>
      </c>
      <c r="D37" s="181" t="s">
        <v>26</v>
      </c>
      <c r="E37" s="181" t="s">
        <v>616</v>
      </c>
      <c r="F37" s="181" t="s">
        <v>1174</v>
      </c>
      <c r="G37" s="170" t="s">
        <v>20</v>
      </c>
      <c r="H37" s="181" t="s">
        <v>70</v>
      </c>
      <c r="I37" s="177">
        <v>60958</v>
      </c>
    </row>
    <row r="38" spans="1:9" x14ac:dyDescent="0.25">
      <c r="A38" s="261">
        <v>10</v>
      </c>
      <c r="B38" s="31" t="s">
        <v>103</v>
      </c>
      <c r="C38" s="34" t="s">
        <v>104</v>
      </c>
      <c r="D38" s="41" t="s">
        <v>26</v>
      </c>
      <c r="E38" s="41" t="s">
        <v>106</v>
      </c>
      <c r="F38" s="41" t="s">
        <v>1176</v>
      </c>
      <c r="G38" s="32" t="s">
        <v>22</v>
      </c>
      <c r="H38" s="41" t="s">
        <v>70</v>
      </c>
      <c r="I38" s="31">
        <v>143966</v>
      </c>
    </row>
    <row r="39" spans="1:9" x14ac:dyDescent="0.25">
      <c r="A39" s="261">
        <v>11</v>
      </c>
      <c r="B39" s="253" t="s">
        <v>602</v>
      </c>
      <c r="C39" s="254" t="s">
        <v>603</v>
      </c>
      <c r="D39" s="256" t="s">
        <v>944</v>
      </c>
      <c r="E39" s="254" t="s">
        <v>120</v>
      </c>
      <c r="F39" s="56" t="s">
        <v>1177</v>
      </c>
      <c r="G39" s="255" t="s">
        <v>20</v>
      </c>
      <c r="H39" s="256" t="s">
        <v>70</v>
      </c>
      <c r="I39" s="253">
        <v>60981</v>
      </c>
    </row>
    <row r="40" spans="1:9" x14ac:dyDescent="0.25">
      <c r="A40" s="261">
        <v>12</v>
      </c>
      <c r="B40" s="206" t="s">
        <v>996</v>
      </c>
      <c r="C40" s="207" t="s">
        <v>1001</v>
      </c>
      <c r="D40" s="214" t="s">
        <v>944</v>
      </c>
      <c r="E40" s="214" t="s">
        <v>385</v>
      </c>
      <c r="F40" s="56" t="s">
        <v>1177</v>
      </c>
      <c r="G40" s="211" t="s">
        <v>20</v>
      </c>
      <c r="H40" s="214" t="s">
        <v>81</v>
      </c>
      <c r="I40" s="206">
        <v>60989</v>
      </c>
    </row>
    <row r="41" spans="1:9" x14ac:dyDescent="0.25">
      <c r="A41" s="261">
        <v>13</v>
      </c>
      <c r="B41" s="253" t="s">
        <v>1156</v>
      </c>
      <c r="C41" s="254" t="s">
        <v>1160</v>
      </c>
      <c r="D41" s="40" t="s">
        <v>944</v>
      </c>
      <c r="E41" s="256" t="s">
        <v>223</v>
      </c>
      <c r="F41" s="254" t="s">
        <v>1177</v>
      </c>
      <c r="G41" s="255" t="s">
        <v>20</v>
      </c>
      <c r="H41" s="256" t="s">
        <v>1161</v>
      </c>
      <c r="I41" s="253">
        <v>60991</v>
      </c>
    </row>
    <row r="42" spans="1:9" x14ac:dyDescent="0.25">
      <c r="A42" s="261">
        <v>14</v>
      </c>
      <c r="B42" s="31" t="s">
        <v>225</v>
      </c>
      <c r="C42" s="34" t="s">
        <v>226</v>
      </c>
      <c r="D42" s="41" t="s">
        <v>28</v>
      </c>
      <c r="E42" s="41" t="s">
        <v>283</v>
      </c>
      <c r="F42" s="41" t="s">
        <v>1179</v>
      </c>
      <c r="G42" s="32" t="s">
        <v>20</v>
      </c>
      <c r="H42" s="40" t="s">
        <v>1027</v>
      </c>
      <c r="I42" s="31">
        <v>60945</v>
      </c>
    </row>
    <row r="43" spans="1:9" x14ac:dyDescent="0.25">
      <c r="A43" s="261">
        <v>15</v>
      </c>
      <c r="B43" s="177" t="s">
        <v>318</v>
      </c>
      <c r="C43" s="178" t="s">
        <v>319</v>
      </c>
      <c r="D43" s="181" t="s">
        <v>29</v>
      </c>
      <c r="E43" s="181" t="s">
        <v>90</v>
      </c>
      <c r="F43" s="181" t="s">
        <v>1180</v>
      </c>
      <c r="G43" s="170" t="s">
        <v>20</v>
      </c>
      <c r="H43" s="181" t="s">
        <v>70</v>
      </c>
      <c r="I43" s="177">
        <v>60893</v>
      </c>
    </row>
    <row r="44" spans="1:9" x14ac:dyDescent="0.25">
      <c r="A44" s="261">
        <v>16</v>
      </c>
      <c r="B44" s="9" t="s">
        <v>280</v>
      </c>
      <c r="C44" s="56" t="s">
        <v>281</v>
      </c>
      <c r="D44" s="40" t="s">
        <v>29</v>
      </c>
      <c r="E44" s="40" t="s">
        <v>283</v>
      </c>
      <c r="F44" s="40" t="s">
        <v>1182</v>
      </c>
      <c r="G44" s="29" t="s">
        <v>20</v>
      </c>
      <c r="H44" s="40" t="s">
        <v>1027</v>
      </c>
      <c r="I44" s="9">
        <v>60930</v>
      </c>
    </row>
    <row r="45" spans="1:9" x14ac:dyDescent="0.25">
      <c r="A45" s="261">
        <v>17</v>
      </c>
      <c r="B45" s="257" t="s">
        <v>250</v>
      </c>
      <c r="C45" s="258" t="s">
        <v>251</v>
      </c>
      <c r="D45" s="260" t="s">
        <v>29</v>
      </c>
      <c r="E45" s="260" t="s">
        <v>283</v>
      </c>
      <c r="F45" s="260" t="s">
        <v>1183</v>
      </c>
      <c r="G45" s="259" t="s">
        <v>20</v>
      </c>
      <c r="H45" s="214" t="s">
        <v>1027</v>
      </c>
      <c r="I45" s="257">
        <v>60871</v>
      </c>
    </row>
    <row r="46" spans="1:9" x14ac:dyDescent="0.25">
      <c r="A46" s="261">
        <v>18</v>
      </c>
      <c r="B46" s="31" t="s">
        <v>255</v>
      </c>
      <c r="C46" s="34" t="s">
        <v>256</v>
      </c>
      <c r="D46" s="41" t="s">
        <v>30</v>
      </c>
      <c r="E46" s="41" t="s">
        <v>750</v>
      </c>
      <c r="F46" s="41" t="s">
        <v>1184</v>
      </c>
      <c r="G46" s="32" t="s">
        <v>20</v>
      </c>
      <c r="H46" s="40" t="s">
        <v>1027</v>
      </c>
      <c r="I46" s="31">
        <v>60927</v>
      </c>
    </row>
    <row r="47" spans="1:9" x14ac:dyDescent="0.25">
      <c r="A47" s="261">
        <v>19</v>
      </c>
      <c r="B47" s="177" t="s">
        <v>323</v>
      </c>
      <c r="C47" s="178" t="s">
        <v>324</v>
      </c>
      <c r="D47" s="181" t="s">
        <v>30</v>
      </c>
      <c r="E47" s="181" t="s">
        <v>114</v>
      </c>
      <c r="F47" s="181" t="s">
        <v>1185</v>
      </c>
      <c r="G47" s="170" t="s">
        <v>20</v>
      </c>
      <c r="H47" s="181" t="s">
        <v>115</v>
      </c>
      <c r="I47" s="177">
        <v>60890</v>
      </c>
    </row>
    <row r="48" spans="1:9" x14ac:dyDescent="0.25">
      <c r="A48" s="261">
        <v>20</v>
      </c>
      <c r="B48" s="195" t="s">
        <v>332</v>
      </c>
      <c r="C48" s="196" t="s">
        <v>333</v>
      </c>
      <c r="D48" s="202" t="s">
        <v>30</v>
      </c>
      <c r="E48" s="202" t="s">
        <v>336</v>
      </c>
      <c r="F48" s="202" t="s">
        <v>1186</v>
      </c>
      <c r="G48" s="197" t="s">
        <v>20</v>
      </c>
      <c r="H48" s="202" t="s">
        <v>183</v>
      </c>
      <c r="I48" s="195">
        <v>60879</v>
      </c>
    </row>
    <row r="49" spans="1:9" x14ac:dyDescent="0.25">
      <c r="A49" s="261">
        <v>21</v>
      </c>
      <c r="B49" s="265" t="s">
        <v>395</v>
      </c>
      <c r="C49" s="266" t="s">
        <v>396</v>
      </c>
      <c r="D49" s="267" t="s">
        <v>30</v>
      </c>
      <c r="E49" s="267" t="s">
        <v>263</v>
      </c>
      <c r="F49" s="267" t="s">
        <v>1187</v>
      </c>
      <c r="G49" s="268" t="s">
        <v>20</v>
      </c>
      <c r="H49" s="267" t="s">
        <v>70</v>
      </c>
      <c r="I49" s="265">
        <v>60870</v>
      </c>
    </row>
  </sheetData>
  <conditionalFormatting sqref="D2:D22">
    <cfRule type="expression" dxfId="150" priority="16">
      <formula>$D2="1.Ajuste de Requerimiento"</formula>
    </cfRule>
    <cfRule type="expression" dxfId="149" priority="17">
      <formula>$D2="3.Propuesta Comercial"</formula>
    </cfRule>
    <cfRule type="expression" dxfId="148" priority="18">
      <formula>$D2="0_Cancelado"</formula>
    </cfRule>
    <cfRule type="expression" dxfId="147" priority="19">
      <formula>$D2="10.En Producción"</formula>
    </cfRule>
    <cfRule type="expression" dxfId="146" priority="20">
      <formula>$D2="2.Reunión de entendimiento"</formula>
    </cfRule>
    <cfRule type="expression" dxfId="145" priority="24" stopIfTrue="1">
      <formula>$D2="4. Pte Comité Compras"</formula>
    </cfRule>
    <cfRule type="expression" dxfId="144" priority="25">
      <formula>$D2="5.Entrega Desarrollo"</formula>
    </cfRule>
    <cfRule type="expression" dxfId="143" priority="26">
      <formula>$D2="6.Instalación en Pruebas"</formula>
    </cfRule>
    <cfRule type="expression" dxfId="142" priority="27">
      <formula>$D2="7.Elaboración Escenarios de prueba"</formula>
    </cfRule>
    <cfRule type="expression" dxfId="141" priority="28">
      <formula>$D2="8.Certificación Escenarios Pruebas"</formula>
    </cfRule>
    <cfRule type="expression" dxfId="140" priority="29">
      <formula>$D2="9.Autorización Paso a Producción"</formula>
    </cfRule>
  </conditionalFormatting>
  <conditionalFormatting sqref="B2:B22">
    <cfRule type="duplicateValues" dxfId="139" priority="374"/>
  </conditionalFormatting>
  <conditionalFormatting sqref="D29:D49">
    <cfRule type="expression" dxfId="138" priority="1">
      <formula>$D29="1.Ajuste de Requerimiento"</formula>
    </cfRule>
    <cfRule type="expression" dxfId="137" priority="2">
      <formula>$D29="3.Propuesta Comercial"</formula>
    </cfRule>
    <cfRule type="expression" dxfId="136" priority="3">
      <formula>$D29="0_Cancelado"</formula>
    </cfRule>
    <cfRule type="expression" dxfId="135" priority="4">
      <formula>$D29="10.En Producción"</formula>
    </cfRule>
    <cfRule type="expression" dxfId="134" priority="5">
      <formula>$D29="2.Reunión de entendimiento"</formula>
    </cfRule>
    <cfRule type="expression" dxfId="133" priority="6" stopIfTrue="1">
      <formula>$D29="4. Pte Comité Compras"</formula>
    </cfRule>
    <cfRule type="expression" dxfId="132" priority="7">
      <formula>$D29="5.Entrega Desarrollo"</formula>
    </cfRule>
    <cfRule type="expression" dxfId="131" priority="8">
      <formula>$D29="6.Instalación en Pruebas"</formula>
    </cfRule>
    <cfRule type="expression" dxfId="130" priority="9">
      <formula>$D29="7.Elaboración Escenarios de prueba"</formula>
    </cfRule>
    <cfRule type="expression" dxfId="129" priority="10">
      <formula>$D29="8.Certificación Escenarios Pruebas"</formula>
    </cfRule>
    <cfRule type="expression" dxfId="128" priority="11">
      <formula>$D29="9.Autorización Paso a Producción"</formula>
    </cfRule>
  </conditionalFormatting>
  <conditionalFormatting sqref="A28:I49">
    <cfRule type="expression" dxfId="127" priority="12" stopIfTrue="1">
      <formula>$G28="TI"</formula>
    </cfRule>
    <cfRule type="expression" dxfId="126" priority="13" stopIfTrue="1">
      <formula>$G28="ITC"</formula>
    </cfRule>
    <cfRule type="expression" dxfId="125" priority="14" stopIfTrue="1">
      <formula>$G28="Ingesoft"</formula>
    </cfRule>
  </conditionalFormatting>
  <conditionalFormatting sqref="B29:B49">
    <cfRule type="duplicateValues" dxfId="124" priority="15"/>
  </conditionalFormatting>
  <conditionalFormatting sqref="A1:J22">
    <cfRule type="expression" dxfId="123" priority="375" stopIfTrue="1">
      <formula>$H1="TI"</formula>
    </cfRule>
    <cfRule type="expression" dxfId="122" priority="376" stopIfTrue="1">
      <formula>$H1="ITC"</formula>
    </cfRule>
    <cfRule type="expression" dxfId="121" priority="377" stopIfTrue="1">
      <formula>$H1="Ingesoft"</formula>
    </cfRule>
  </conditionalFormatting>
  <dataValidations count="1">
    <dataValidation type="list" allowBlank="1" showInputMessage="1" showErrorMessage="1" sqref="D29:D49 D2:D22" xr:uid="{1B68642E-3CD8-4AB2-91EC-97254228CC47}">
      <formula1>#REF!</formula1>
    </dataValidation>
  </dataValidation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A212-8498-457B-9780-4B25BA1FAC6A}">
  <sheetPr codeName="Hoja10"/>
  <dimension ref="A2:O50"/>
  <sheetViews>
    <sheetView zoomScale="90" zoomScaleNormal="90" workbookViewId="0">
      <selection activeCell="E34" sqref="E34"/>
    </sheetView>
  </sheetViews>
  <sheetFormatPr baseColWidth="10" defaultRowHeight="15" x14ac:dyDescent="0.25"/>
  <cols>
    <col min="1" max="1" width="52.28515625" customWidth="1"/>
    <col min="2" max="2" width="21.5703125" bestFit="1" customWidth="1"/>
    <col min="3" max="3" width="19.85546875" bestFit="1" customWidth="1"/>
    <col min="4" max="4" width="20.7109375" customWidth="1"/>
    <col min="5" max="5" width="64.85546875" customWidth="1"/>
    <col min="6" max="6" width="13.42578125" bestFit="1" customWidth="1"/>
    <col min="9" max="9" width="14.140625" customWidth="1"/>
    <col min="14" max="14" width="21.28515625" customWidth="1"/>
  </cols>
  <sheetData>
    <row r="2" spans="1:15" x14ac:dyDescent="0.25">
      <c r="H2" t="s">
        <v>981</v>
      </c>
    </row>
    <row r="3" spans="1:15" ht="30" x14ac:dyDescent="0.25">
      <c r="A3" t="s">
        <v>1166</v>
      </c>
      <c r="B3">
        <v>76543210</v>
      </c>
      <c r="C3" t="s">
        <v>971</v>
      </c>
      <c r="G3" s="68" t="s">
        <v>974</v>
      </c>
      <c r="H3" s="68" t="s">
        <v>975</v>
      </c>
      <c r="I3" s="68" t="s">
        <v>976</v>
      </c>
      <c r="J3" s="68" t="s">
        <v>977</v>
      </c>
      <c r="M3" s="239" t="s">
        <v>1072</v>
      </c>
      <c r="N3" t="s">
        <v>1073</v>
      </c>
      <c r="O3" s="1">
        <v>45880</v>
      </c>
    </row>
    <row r="4" spans="1:15" ht="30" x14ac:dyDescent="0.25">
      <c r="A4" t="s">
        <v>1167</v>
      </c>
      <c r="B4" t="s">
        <v>1152</v>
      </c>
      <c r="C4" t="s">
        <v>972</v>
      </c>
      <c r="G4" s="68">
        <v>1</v>
      </c>
      <c r="H4" s="68" t="s">
        <v>978</v>
      </c>
      <c r="I4" s="68" t="s">
        <v>979</v>
      </c>
      <c r="J4" s="68" t="s">
        <v>979</v>
      </c>
      <c r="M4" s="239" t="s">
        <v>1075</v>
      </c>
      <c r="N4" t="s">
        <v>1074</v>
      </c>
      <c r="O4" s="1">
        <v>45880</v>
      </c>
    </row>
    <row r="5" spans="1:15" x14ac:dyDescent="0.25">
      <c r="C5" t="s">
        <v>973</v>
      </c>
      <c r="G5" s="68">
        <v>2</v>
      </c>
      <c r="H5" s="68" t="s">
        <v>980</v>
      </c>
      <c r="I5" s="68" t="s">
        <v>980</v>
      </c>
      <c r="J5" s="68" t="s">
        <v>978</v>
      </c>
    </row>
    <row r="6" spans="1:15" x14ac:dyDescent="0.25">
      <c r="G6" s="68">
        <v>3</v>
      </c>
      <c r="H6" s="68" t="s">
        <v>980</v>
      </c>
      <c r="I6" s="68" t="s">
        <v>978</v>
      </c>
      <c r="J6" s="68" t="s">
        <v>978</v>
      </c>
    </row>
    <row r="7" spans="1:15" x14ac:dyDescent="0.25">
      <c r="G7" s="68">
        <v>4</v>
      </c>
      <c r="H7" s="68" t="s">
        <v>980</v>
      </c>
      <c r="I7" s="68" t="s">
        <v>980</v>
      </c>
      <c r="J7" s="68" t="s">
        <v>980</v>
      </c>
    </row>
    <row r="8" spans="1:15" x14ac:dyDescent="0.25">
      <c r="G8" s="68">
        <v>5</v>
      </c>
      <c r="H8" s="68" t="s">
        <v>980</v>
      </c>
      <c r="I8" s="68" t="s">
        <v>978</v>
      </c>
      <c r="J8" s="68" t="s">
        <v>980</v>
      </c>
    </row>
    <row r="11" spans="1:15" x14ac:dyDescent="0.25">
      <c r="A11" s="243" t="s">
        <v>1111</v>
      </c>
      <c r="B11" s="236">
        <v>1143838292</v>
      </c>
    </row>
    <row r="12" spans="1:15" x14ac:dyDescent="0.25">
      <c r="A12">
        <v>10199970713</v>
      </c>
      <c r="B12" s="236" t="s">
        <v>1274</v>
      </c>
    </row>
    <row r="13" spans="1:15" x14ac:dyDescent="0.25">
      <c r="B13">
        <f>+LEN(B12)</f>
        <v>15</v>
      </c>
      <c r="D13" t="s">
        <v>1239</v>
      </c>
    </row>
    <row r="20" spans="1:15" x14ac:dyDescent="0.25">
      <c r="A20" s="244">
        <v>10199970784</v>
      </c>
      <c r="B20">
        <v>979</v>
      </c>
      <c r="C20" t="s">
        <v>1115</v>
      </c>
      <c r="D20" t="s">
        <v>1116</v>
      </c>
    </row>
    <row r="21" spans="1:15" x14ac:dyDescent="0.25">
      <c r="A21" s="244">
        <v>30199970034</v>
      </c>
    </row>
    <row r="22" spans="1:15" x14ac:dyDescent="0.25">
      <c r="N22" t="s">
        <v>1080</v>
      </c>
      <c r="O22" t="s">
        <v>1077</v>
      </c>
    </row>
    <row r="23" spans="1:15" x14ac:dyDescent="0.25">
      <c r="E23" s="245" t="s">
        <v>1171</v>
      </c>
      <c r="F23" s="245" t="s">
        <v>1170</v>
      </c>
      <c r="N23" t="s">
        <v>1079</v>
      </c>
      <c r="O23" t="s">
        <v>1078</v>
      </c>
    </row>
    <row r="24" spans="1:15" ht="16.5" x14ac:dyDescent="0.3">
      <c r="E24" s="56" t="s">
        <v>1076</v>
      </c>
      <c r="F24" s="2" t="s">
        <v>1168</v>
      </c>
      <c r="N24" s="240"/>
    </row>
    <row r="25" spans="1:15" x14ac:dyDescent="0.25">
      <c r="E25" s="163" t="s">
        <v>1149</v>
      </c>
      <c r="F25" s="2" t="s">
        <v>1169</v>
      </c>
    </row>
    <row r="26" spans="1:15" ht="16.5" x14ac:dyDescent="0.3">
      <c r="N26" s="240"/>
    </row>
    <row r="28" spans="1:15" ht="16.5" x14ac:dyDescent="0.3">
      <c r="N28" s="240"/>
    </row>
    <row r="30" spans="1:15" ht="16.5" x14ac:dyDescent="0.3">
      <c r="N30" s="240"/>
    </row>
    <row r="32" spans="1:15" ht="16.5" x14ac:dyDescent="0.3">
      <c r="N32" s="240"/>
    </row>
    <row r="39" spans="1:6" x14ac:dyDescent="0.25">
      <c r="A39" s="242" t="s">
        <v>1084</v>
      </c>
      <c r="B39" s="242" t="s">
        <v>1085</v>
      </c>
      <c r="C39" s="242" t="s">
        <v>1086</v>
      </c>
      <c r="D39" s="242" t="s">
        <v>1087</v>
      </c>
      <c r="E39" s="242" t="s">
        <v>1088</v>
      </c>
      <c r="F39" s="242" t="s">
        <v>19</v>
      </c>
    </row>
    <row r="40" spans="1:6" ht="30" x14ac:dyDescent="0.25">
      <c r="A40" s="241" t="s">
        <v>1101</v>
      </c>
      <c r="B40" s="241" t="s">
        <v>1089</v>
      </c>
      <c r="C40" s="241" t="s">
        <v>1102</v>
      </c>
      <c r="D40" s="241" t="s">
        <v>1103</v>
      </c>
      <c r="E40" s="241" t="s">
        <v>1093</v>
      </c>
      <c r="F40" s="241" t="s">
        <v>1110</v>
      </c>
    </row>
    <row r="41" spans="1:6" ht="30" x14ac:dyDescent="0.25">
      <c r="A41" s="241" t="s">
        <v>1106</v>
      </c>
      <c r="B41" s="241" t="s">
        <v>1089</v>
      </c>
      <c r="C41" s="241" t="s">
        <v>1107</v>
      </c>
      <c r="D41" s="241" t="s">
        <v>1108</v>
      </c>
      <c r="E41" s="241" t="s">
        <v>1093</v>
      </c>
      <c r="F41" s="241" t="s">
        <v>1110</v>
      </c>
    </row>
    <row r="42" spans="1:6" ht="30" x14ac:dyDescent="0.25">
      <c r="A42" s="241" t="s">
        <v>1090</v>
      </c>
      <c r="B42" s="241" t="s">
        <v>1089</v>
      </c>
      <c r="C42" s="241" t="s">
        <v>1091</v>
      </c>
      <c r="D42" s="241" t="s">
        <v>1092</v>
      </c>
      <c r="E42" s="241" t="s">
        <v>1093</v>
      </c>
      <c r="F42" s="241" t="s">
        <v>1109</v>
      </c>
    </row>
    <row r="43" spans="1:6" ht="30" x14ac:dyDescent="0.25">
      <c r="A43" s="241" t="s">
        <v>1094</v>
      </c>
      <c r="B43" s="241" t="s">
        <v>1089</v>
      </c>
      <c r="C43" s="241" t="s">
        <v>1095</v>
      </c>
      <c r="D43" s="241">
        <v>9405</v>
      </c>
      <c r="E43" s="241" t="s">
        <v>1093</v>
      </c>
      <c r="F43" s="241" t="s">
        <v>1109</v>
      </c>
    </row>
    <row r="44" spans="1:6" ht="30" x14ac:dyDescent="0.25">
      <c r="A44" s="241" t="s">
        <v>1096</v>
      </c>
      <c r="B44" s="241" t="s">
        <v>1089</v>
      </c>
      <c r="C44" s="241" t="s">
        <v>1097</v>
      </c>
      <c r="D44" s="241" t="s">
        <v>1098</v>
      </c>
      <c r="E44" s="241" t="s">
        <v>1093</v>
      </c>
      <c r="F44" s="241" t="s">
        <v>1109</v>
      </c>
    </row>
    <row r="45" spans="1:6" ht="45" x14ac:dyDescent="0.25">
      <c r="A45" s="241" t="s">
        <v>1099</v>
      </c>
      <c r="B45" s="241" t="s">
        <v>1089</v>
      </c>
      <c r="C45" s="241" t="s">
        <v>1100</v>
      </c>
      <c r="D45" s="241">
        <v>9461</v>
      </c>
      <c r="E45" s="241" t="s">
        <v>1093</v>
      </c>
      <c r="F45" s="241" t="s">
        <v>1109</v>
      </c>
    </row>
    <row r="46" spans="1:6" ht="30" x14ac:dyDescent="0.25">
      <c r="A46" s="241" t="s">
        <v>1104</v>
      </c>
      <c r="B46" s="241" t="s">
        <v>1089</v>
      </c>
      <c r="C46" s="241" t="s">
        <v>1105</v>
      </c>
      <c r="D46" s="241" t="s">
        <v>1103</v>
      </c>
      <c r="E46" s="241" t="s">
        <v>1093</v>
      </c>
      <c r="F46" s="241" t="s">
        <v>1109</v>
      </c>
    </row>
    <row r="49" spans="10:10" ht="16.5" x14ac:dyDescent="0.3">
      <c r="J49" s="240"/>
    </row>
    <row r="50" spans="10:10" ht="16.5" x14ac:dyDescent="0.3">
      <c r="J50" s="240"/>
    </row>
  </sheetData>
  <conditionalFormatting sqref="E24:E25">
    <cfRule type="expression" dxfId="93" priority="1" stopIfTrue="1">
      <formula>$S24="TI"</formula>
    </cfRule>
    <cfRule type="expression" dxfId="92" priority="2" stopIfTrue="1">
      <formula>$S24="ITC"</formula>
    </cfRule>
    <cfRule type="expression" dxfId="91" priority="3" stopIfTrue="1">
      <formula>$S24="Ingesoft"</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61473-CFA9-414C-A38B-86DA4FCB8926}">
  <sheetPr codeName="Hoja6"/>
  <dimension ref="A4:H19"/>
  <sheetViews>
    <sheetView showGridLines="0" workbookViewId="0">
      <selection activeCell="C17" sqref="C17"/>
    </sheetView>
  </sheetViews>
  <sheetFormatPr baseColWidth="10" defaultColWidth="11.42578125" defaultRowHeight="15" x14ac:dyDescent="0.25"/>
  <cols>
    <col min="1" max="1" width="14" customWidth="1"/>
    <col min="2" max="2" width="18.140625" customWidth="1"/>
    <col min="3" max="3" width="83.42578125" bestFit="1" customWidth="1"/>
    <col min="4" max="4" width="20.85546875" bestFit="1" customWidth="1"/>
    <col min="5" max="5" width="32.5703125" customWidth="1"/>
    <col min="6" max="6" width="15.85546875" customWidth="1"/>
    <col min="7" max="7" width="46.7109375" bestFit="1" customWidth="1"/>
  </cols>
  <sheetData>
    <row r="4" spans="1:8" ht="30.75" thickBot="1" x14ac:dyDescent="0.3">
      <c r="A4" s="49" t="s">
        <v>398</v>
      </c>
      <c r="B4" s="49" t="s">
        <v>399</v>
      </c>
      <c r="C4" s="49" t="s">
        <v>17</v>
      </c>
      <c r="D4" s="49" t="s">
        <v>46</v>
      </c>
      <c r="E4" s="49" t="s">
        <v>400</v>
      </c>
      <c r="F4" s="49" t="s">
        <v>401</v>
      </c>
      <c r="G4" s="50" t="s">
        <v>402</v>
      </c>
      <c r="H4" s="120" t="s">
        <v>927</v>
      </c>
    </row>
    <row r="5" spans="1:8" ht="21.75" customHeight="1" thickBot="1" x14ac:dyDescent="0.3">
      <c r="A5" s="51">
        <v>1</v>
      </c>
      <c r="B5" s="52" t="s">
        <v>403</v>
      </c>
      <c r="C5" s="52" t="s">
        <v>404</v>
      </c>
      <c r="D5" s="52" t="s">
        <v>419</v>
      </c>
      <c r="E5" s="52"/>
      <c r="F5" s="52"/>
      <c r="G5" s="53" t="s">
        <v>406</v>
      </c>
      <c r="H5" s="46" t="s">
        <v>928</v>
      </c>
    </row>
    <row r="6" spans="1:8" ht="21.75" customHeight="1" thickBot="1" x14ac:dyDescent="0.3">
      <c r="A6" s="42">
        <v>2</v>
      </c>
      <c r="B6" s="43" t="s">
        <v>407</v>
      </c>
      <c r="C6" s="43" t="s">
        <v>296</v>
      </c>
      <c r="D6" s="43" t="s">
        <v>408</v>
      </c>
      <c r="E6" s="42">
        <v>5</v>
      </c>
      <c r="F6" s="43"/>
      <c r="G6" s="44"/>
      <c r="H6" s="46" t="s">
        <v>929</v>
      </c>
    </row>
    <row r="7" spans="1:8" ht="21.75" customHeight="1" thickBot="1" x14ac:dyDescent="0.3">
      <c r="A7" s="42">
        <v>3</v>
      </c>
      <c r="B7" s="43" t="s">
        <v>407</v>
      </c>
      <c r="C7" s="43" t="s">
        <v>409</v>
      </c>
      <c r="D7" s="43" t="s">
        <v>410</v>
      </c>
      <c r="E7" s="42">
        <v>5</v>
      </c>
      <c r="F7" s="43"/>
      <c r="G7" s="44"/>
      <c r="H7" s="46" t="s">
        <v>928</v>
      </c>
    </row>
    <row r="8" spans="1:8" ht="21.75" customHeight="1" thickBot="1" x14ac:dyDescent="0.3">
      <c r="A8" s="42">
        <v>4</v>
      </c>
      <c r="B8" s="43" t="s">
        <v>407</v>
      </c>
      <c r="C8" s="43" t="s">
        <v>411</v>
      </c>
      <c r="D8" s="43" t="s">
        <v>408</v>
      </c>
      <c r="E8" s="42">
        <v>5</v>
      </c>
      <c r="F8" s="43"/>
      <c r="G8" s="44"/>
      <c r="H8" s="46"/>
    </row>
    <row r="9" spans="1:8" ht="21.75" customHeight="1" thickBot="1" x14ac:dyDescent="0.3">
      <c r="A9" s="42">
        <v>5</v>
      </c>
      <c r="B9" s="43" t="s">
        <v>412</v>
      </c>
      <c r="C9" s="43" t="s">
        <v>413</v>
      </c>
      <c r="D9" s="43" t="s">
        <v>414</v>
      </c>
      <c r="E9" s="43"/>
      <c r="F9" s="43"/>
      <c r="G9" s="44"/>
      <c r="H9" s="46" t="s">
        <v>929</v>
      </c>
    </row>
    <row r="10" spans="1:8" ht="21.75" customHeight="1" thickBot="1" x14ac:dyDescent="0.3">
      <c r="A10" s="51">
        <v>6</v>
      </c>
      <c r="B10" s="52" t="s">
        <v>407</v>
      </c>
      <c r="C10" s="52" t="s">
        <v>415</v>
      </c>
      <c r="D10" s="52" t="s">
        <v>419</v>
      </c>
      <c r="E10" s="52"/>
      <c r="F10" s="52"/>
      <c r="G10" s="53" t="s">
        <v>416</v>
      </c>
      <c r="H10" s="46" t="s">
        <v>928</v>
      </c>
    </row>
    <row r="11" spans="1:8" ht="21.75" customHeight="1" thickBot="1" x14ac:dyDescent="0.3">
      <c r="A11" s="42">
        <v>7</v>
      </c>
      <c r="B11" s="43" t="s">
        <v>407</v>
      </c>
      <c r="C11" s="43" t="s">
        <v>417</v>
      </c>
      <c r="D11" s="43" t="s">
        <v>408</v>
      </c>
      <c r="E11" s="43"/>
      <c r="F11" s="43"/>
      <c r="G11" s="44"/>
      <c r="H11" s="46" t="s">
        <v>928</v>
      </c>
    </row>
    <row r="12" spans="1:8" ht="21.75" customHeight="1" thickBot="1" x14ac:dyDescent="0.3">
      <c r="A12" s="42">
        <v>8</v>
      </c>
      <c r="B12" s="43" t="s">
        <v>403</v>
      </c>
      <c r="C12" s="43" t="s">
        <v>418</v>
      </c>
      <c r="D12" s="43" t="s">
        <v>419</v>
      </c>
      <c r="E12" s="43"/>
      <c r="F12" s="43"/>
      <c r="G12" s="44"/>
      <c r="H12" s="46" t="s">
        <v>929</v>
      </c>
    </row>
    <row r="13" spans="1:8" ht="21.75" customHeight="1" thickBot="1" x14ac:dyDescent="0.3">
      <c r="A13" s="42">
        <v>9</v>
      </c>
      <c r="B13" s="43" t="s">
        <v>403</v>
      </c>
      <c r="C13" s="43" t="s">
        <v>420</v>
      </c>
      <c r="D13" s="43" t="s">
        <v>421</v>
      </c>
      <c r="E13" s="43"/>
      <c r="F13" s="43"/>
      <c r="G13" s="44"/>
      <c r="H13" s="46"/>
    </row>
    <row r="14" spans="1:8" ht="21.75" customHeight="1" thickBot="1" x14ac:dyDescent="0.3">
      <c r="A14" s="42">
        <v>10</v>
      </c>
      <c r="B14" s="43" t="s">
        <v>407</v>
      </c>
      <c r="C14" s="43" t="s">
        <v>422</v>
      </c>
      <c r="D14" s="43" t="s">
        <v>419</v>
      </c>
      <c r="E14" s="42">
        <v>11</v>
      </c>
      <c r="F14" s="43"/>
      <c r="G14" s="44"/>
      <c r="H14" s="46" t="s">
        <v>928</v>
      </c>
    </row>
    <row r="15" spans="1:8" ht="21.75" customHeight="1" thickBot="1" x14ac:dyDescent="0.3">
      <c r="A15" s="42">
        <v>11</v>
      </c>
      <c r="B15" s="43" t="s">
        <v>407</v>
      </c>
      <c r="C15" s="43" t="s">
        <v>423</v>
      </c>
      <c r="D15" s="43" t="s">
        <v>419</v>
      </c>
      <c r="E15" s="43"/>
      <c r="F15" s="43"/>
      <c r="G15" s="44" t="s">
        <v>424</v>
      </c>
      <c r="H15" s="46" t="s">
        <v>928</v>
      </c>
    </row>
    <row r="16" spans="1:8" ht="21.75" customHeight="1" thickBot="1" x14ac:dyDescent="0.3">
      <c r="A16" s="42">
        <v>12</v>
      </c>
      <c r="B16" s="43" t="s">
        <v>407</v>
      </c>
      <c r="C16" s="43" t="s">
        <v>425</v>
      </c>
      <c r="D16" s="43" t="s">
        <v>405</v>
      </c>
      <c r="E16" s="43"/>
      <c r="F16" s="43"/>
      <c r="G16" s="44"/>
      <c r="H16" s="46" t="s">
        <v>929</v>
      </c>
    </row>
    <row r="17" spans="1:8" ht="21.75" customHeight="1" thickBot="1" x14ac:dyDescent="0.3">
      <c r="A17" s="42">
        <v>13</v>
      </c>
      <c r="B17" s="43" t="s">
        <v>407</v>
      </c>
      <c r="C17" s="43" t="s">
        <v>426</v>
      </c>
      <c r="D17" s="43" t="s">
        <v>419</v>
      </c>
      <c r="E17" s="43"/>
      <c r="F17" s="43"/>
      <c r="G17" s="44"/>
      <c r="H17" s="46" t="s">
        <v>928</v>
      </c>
    </row>
    <row r="18" spans="1:8" ht="21.75" customHeight="1" x14ac:dyDescent="0.25">
      <c r="A18" s="45">
        <v>14</v>
      </c>
      <c r="B18" s="46" t="s">
        <v>427</v>
      </c>
      <c r="C18" s="46" t="s">
        <v>428</v>
      </c>
      <c r="D18" s="46" t="s">
        <v>405</v>
      </c>
      <c r="E18" s="46"/>
      <c r="F18" s="46"/>
      <c r="G18" s="47"/>
      <c r="H18" s="46"/>
    </row>
    <row r="19" spans="1:8" x14ac:dyDescent="0.25">
      <c r="A19" s="48"/>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75170-B2CE-48D5-94C0-FDD9356AEEB9}">
  <sheetPr codeName="Hoja7"/>
  <dimension ref="A1:F16"/>
  <sheetViews>
    <sheetView showGridLines="0" workbookViewId="0">
      <selection activeCell="D30" sqref="D30"/>
    </sheetView>
  </sheetViews>
  <sheetFormatPr baseColWidth="10" defaultColWidth="11.42578125" defaultRowHeight="15" x14ac:dyDescent="0.25"/>
  <cols>
    <col min="1" max="1" width="32.140625" bestFit="1" customWidth="1"/>
    <col min="2" max="2" width="36.7109375" bestFit="1" customWidth="1"/>
    <col min="3" max="3" width="22" bestFit="1" customWidth="1"/>
    <col min="4" max="4" width="20.85546875" bestFit="1" customWidth="1"/>
    <col min="5" max="5" width="100.140625" bestFit="1" customWidth="1"/>
  </cols>
  <sheetData>
    <row r="1" spans="1:6" ht="19.5" customHeight="1" thickBot="1" x14ac:dyDescent="0.3">
      <c r="A1" s="74" t="s">
        <v>429</v>
      </c>
      <c r="B1" s="75" t="s">
        <v>430</v>
      </c>
      <c r="C1" s="75" t="s">
        <v>431</v>
      </c>
      <c r="D1" s="75" t="s">
        <v>432</v>
      </c>
      <c r="E1" s="75" t="s">
        <v>433</v>
      </c>
    </row>
    <row r="2" spans="1:6" ht="19.5" customHeight="1" x14ac:dyDescent="0.25">
      <c r="A2" s="295" t="s">
        <v>434</v>
      </c>
      <c r="B2" s="297" t="s">
        <v>435</v>
      </c>
      <c r="C2" s="299" t="s">
        <v>436</v>
      </c>
      <c r="D2" s="299" t="s">
        <v>437</v>
      </c>
      <c r="E2" s="76" t="s">
        <v>438</v>
      </c>
    </row>
    <row r="3" spans="1:6" ht="19.5" customHeight="1" thickBot="1" x14ac:dyDescent="0.3">
      <c r="A3" s="296"/>
      <c r="B3" s="298"/>
      <c r="C3" s="300"/>
      <c r="D3" s="300"/>
      <c r="E3" s="77" t="s">
        <v>439</v>
      </c>
    </row>
    <row r="4" spans="1:6" ht="19.5" customHeight="1" thickBot="1" x14ac:dyDescent="0.3">
      <c r="A4" s="78" t="s">
        <v>434</v>
      </c>
      <c r="B4" s="79" t="s">
        <v>440</v>
      </c>
      <c r="C4" s="79" t="s">
        <v>436</v>
      </c>
      <c r="D4" s="79" t="s">
        <v>437</v>
      </c>
      <c r="E4" s="77" t="s">
        <v>441</v>
      </c>
      <c r="F4" s="121" t="s">
        <v>930</v>
      </c>
    </row>
    <row r="5" spans="1:6" ht="19.5" customHeight="1" thickBot="1" x14ac:dyDescent="0.3">
      <c r="A5" s="78" t="s">
        <v>442</v>
      </c>
      <c r="B5" s="79" t="s">
        <v>440</v>
      </c>
      <c r="C5" s="79" t="s">
        <v>443</v>
      </c>
      <c r="D5" s="79" t="s">
        <v>444</v>
      </c>
      <c r="E5" s="79" t="s">
        <v>445</v>
      </c>
      <c r="F5" s="121" t="s">
        <v>930</v>
      </c>
    </row>
    <row r="6" spans="1:6" ht="19.5" customHeight="1" thickBot="1" x14ac:dyDescent="0.3">
      <c r="A6" s="78" t="s">
        <v>442</v>
      </c>
      <c r="B6" s="79" t="s">
        <v>446</v>
      </c>
      <c r="C6" s="79" t="s">
        <v>447</v>
      </c>
      <c r="D6" s="79" t="s">
        <v>448</v>
      </c>
      <c r="E6" s="79" t="s">
        <v>449</v>
      </c>
    </row>
    <row r="7" spans="1:6" ht="19.5" customHeight="1" thickBot="1" x14ac:dyDescent="0.3">
      <c r="A7" s="78" t="s">
        <v>442</v>
      </c>
      <c r="B7" s="79" t="s">
        <v>450</v>
      </c>
      <c r="C7" s="79" t="s">
        <v>451</v>
      </c>
      <c r="D7" s="79" t="s">
        <v>452</v>
      </c>
      <c r="E7" s="79" t="s">
        <v>453</v>
      </c>
    </row>
    <row r="8" spans="1:6" ht="19.5" customHeight="1" thickBot="1" x14ac:dyDescent="0.3">
      <c r="A8" s="78" t="s">
        <v>442</v>
      </c>
      <c r="B8" s="77" t="s">
        <v>454</v>
      </c>
      <c r="C8" s="79" t="s">
        <v>455</v>
      </c>
      <c r="D8" s="79" t="s">
        <v>444</v>
      </c>
      <c r="E8" s="77" t="s">
        <v>456</v>
      </c>
    </row>
    <row r="12" spans="1:6" ht="16.5" thickBot="1" x14ac:dyDescent="0.3">
      <c r="A12" s="78" t="s">
        <v>442</v>
      </c>
      <c r="B12" s="79" t="s">
        <v>446</v>
      </c>
      <c r="C12" s="79" t="s">
        <v>447</v>
      </c>
      <c r="D12" s="79" t="s">
        <v>448</v>
      </c>
      <c r="E12" s="79" t="s">
        <v>449</v>
      </c>
    </row>
    <row r="13" spans="1:6" ht="16.5" thickBot="1" x14ac:dyDescent="0.3">
      <c r="A13" s="78" t="s">
        <v>442</v>
      </c>
      <c r="B13" s="79" t="s">
        <v>450</v>
      </c>
      <c r="C13" s="79" t="s">
        <v>451</v>
      </c>
      <c r="D13" s="79" t="s">
        <v>452</v>
      </c>
      <c r="E13" s="79" t="s">
        <v>453</v>
      </c>
    </row>
    <row r="14" spans="1:6" ht="32.25" thickBot="1" x14ac:dyDescent="0.3">
      <c r="A14" s="78" t="s">
        <v>442</v>
      </c>
      <c r="B14" s="77" t="s">
        <v>454</v>
      </c>
      <c r="C14" s="79" t="s">
        <v>455</v>
      </c>
      <c r="D14" s="79" t="s">
        <v>444</v>
      </c>
      <c r="E14" s="77" t="s">
        <v>456</v>
      </c>
    </row>
    <row r="15" spans="1:6" ht="15.75" x14ac:dyDescent="0.25">
      <c r="A15" s="295" t="s">
        <v>434</v>
      </c>
      <c r="B15" s="297" t="s">
        <v>435</v>
      </c>
      <c r="C15" s="299" t="s">
        <v>436</v>
      </c>
      <c r="D15" s="299" t="s">
        <v>437</v>
      </c>
      <c r="E15" s="76" t="s">
        <v>438</v>
      </c>
    </row>
    <row r="16" spans="1:6" ht="16.5" thickBot="1" x14ac:dyDescent="0.3">
      <c r="A16" s="296"/>
      <c r="B16" s="298"/>
      <c r="C16" s="300"/>
      <c r="D16" s="300"/>
      <c r="E16" s="77" t="s">
        <v>439</v>
      </c>
    </row>
  </sheetData>
  <mergeCells count="8">
    <mergeCell ref="A2:A3"/>
    <mergeCell ref="B2:B3"/>
    <mergeCell ref="C2:C3"/>
    <mergeCell ref="D2:D3"/>
    <mergeCell ref="A15:A16"/>
    <mergeCell ref="B15:B16"/>
    <mergeCell ref="C15:C16"/>
    <mergeCell ref="D15:D1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4D854-406F-4D54-809A-9BEEF4889E71}">
  <sheetPr codeName="Hoja5"/>
  <dimension ref="A1:AE24"/>
  <sheetViews>
    <sheetView showGridLines="0" topLeftCell="T1" workbookViewId="0">
      <selection activeCell="Z3" sqref="Z3"/>
    </sheetView>
  </sheetViews>
  <sheetFormatPr baseColWidth="10" defaultColWidth="11.42578125" defaultRowHeight="15" x14ac:dyDescent="0.25"/>
  <cols>
    <col min="1" max="1" width="21.85546875" bestFit="1" customWidth="1"/>
    <col min="2" max="2" width="19.42578125" hidden="1" customWidth="1"/>
    <col min="3" max="3" width="17" hidden="1" customWidth="1"/>
    <col min="4" max="4" width="45.140625" hidden="1" customWidth="1"/>
    <col min="5" max="5" width="81.140625" hidden="1" customWidth="1"/>
    <col min="6" max="6" width="12.42578125" hidden="1" customWidth="1"/>
    <col min="7" max="7" width="10.42578125" hidden="1" customWidth="1"/>
    <col min="8" max="8" width="31.7109375" hidden="1" customWidth="1"/>
    <col min="9" max="9" width="22.28515625" hidden="1" customWidth="1"/>
    <col min="10" max="10" width="23.5703125" hidden="1" customWidth="1"/>
    <col min="11" max="11" width="16.7109375" bestFit="1" customWidth="1"/>
    <col min="12" max="12" width="30" bestFit="1" customWidth="1"/>
    <col min="13" max="13" width="81.140625" bestFit="1" customWidth="1"/>
    <col min="14" max="14" width="37.140625" bestFit="1" customWidth="1"/>
    <col min="15" max="15" width="39" bestFit="1" customWidth="1"/>
    <col min="16" max="16" width="62.7109375" bestFit="1" customWidth="1"/>
    <col min="17" max="17" width="26.85546875" bestFit="1" customWidth="1"/>
    <col min="18" max="18" width="17.42578125" bestFit="1" customWidth="1"/>
    <col min="19" max="19" width="20.85546875" bestFit="1" customWidth="1"/>
    <col min="20" max="20" width="81.140625" bestFit="1" customWidth="1"/>
    <col min="26" max="26" width="21.85546875" bestFit="1" customWidth="1"/>
    <col min="27" max="27" width="30.42578125" bestFit="1" customWidth="1"/>
    <col min="28" max="28" width="16.7109375" bestFit="1" customWidth="1"/>
    <col min="29" max="29" width="81.140625" bestFit="1" customWidth="1"/>
    <col min="30" max="30" width="22.85546875" bestFit="1" customWidth="1"/>
    <col min="31" max="31" width="11.28515625" bestFit="1" customWidth="1"/>
  </cols>
  <sheetData>
    <row r="1" spans="1:31" x14ac:dyDescent="0.25">
      <c r="A1" t="s">
        <v>457</v>
      </c>
      <c r="B1" t="s">
        <v>458</v>
      </c>
      <c r="C1" t="s">
        <v>459</v>
      </c>
      <c r="D1" t="s">
        <v>460</v>
      </c>
      <c r="E1" t="s">
        <v>461</v>
      </c>
      <c r="F1" t="s">
        <v>462</v>
      </c>
      <c r="G1" t="s">
        <v>463</v>
      </c>
      <c r="H1" t="s">
        <v>464</v>
      </c>
      <c r="I1" t="s">
        <v>465</v>
      </c>
      <c r="J1" t="s">
        <v>466</v>
      </c>
      <c r="K1" t="s">
        <v>467</v>
      </c>
      <c r="L1" t="s">
        <v>468</v>
      </c>
      <c r="M1" t="s">
        <v>469</v>
      </c>
      <c r="N1" t="s">
        <v>470</v>
      </c>
      <c r="O1" t="s">
        <v>471</v>
      </c>
      <c r="P1" t="s">
        <v>472</v>
      </c>
      <c r="Q1" t="s">
        <v>473</v>
      </c>
      <c r="R1" t="s">
        <v>474</v>
      </c>
      <c r="S1" t="s">
        <v>475</v>
      </c>
      <c r="T1" t="s">
        <v>476</v>
      </c>
      <c r="Z1" t="s">
        <v>457</v>
      </c>
      <c r="AA1" t="s">
        <v>466</v>
      </c>
      <c r="AB1" t="s">
        <v>467</v>
      </c>
      <c r="AC1" t="s">
        <v>476</v>
      </c>
      <c r="AD1" t="s">
        <v>46</v>
      </c>
      <c r="AE1" t="s">
        <v>45</v>
      </c>
    </row>
    <row r="2" spans="1:31" x14ac:dyDescent="0.25">
      <c r="A2" t="s">
        <v>220</v>
      </c>
      <c r="B2" t="s">
        <v>477</v>
      </c>
      <c r="C2" t="s">
        <v>478</v>
      </c>
      <c r="D2" t="s">
        <v>479</v>
      </c>
      <c r="E2" t="s">
        <v>480</v>
      </c>
      <c r="F2" t="s">
        <v>481</v>
      </c>
      <c r="G2" t="s">
        <v>68</v>
      </c>
      <c r="H2" t="s">
        <v>482</v>
      </c>
      <c r="I2" t="s">
        <v>483</v>
      </c>
      <c r="J2" t="s">
        <v>484</v>
      </c>
      <c r="K2" s="1">
        <v>45400</v>
      </c>
      <c r="L2" s="1">
        <v>45825</v>
      </c>
      <c r="M2" t="s">
        <v>485</v>
      </c>
      <c r="N2" t="s">
        <v>486</v>
      </c>
      <c r="P2" t="s">
        <v>487</v>
      </c>
      <c r="R2" t="s">
        <v>18</v>
      </c>
      <c r="T2" t="s">
        <v>224</v>
      </c>
      <c r="Z2" t="s">
        <v>1245</v>
      </c>
      <c r="AA2" t="s">
        <v>285</v>
      </c>
      <c r="AB2" s="1">
        <v>45996</v>
      </c>
      <c r="AC2" s="22" t="s">
        <v>1248</v>
      </c>
      <c r="AD2" t="s">
        <v>1000</v>
      </c>
    </row>
    <row r="3" spans="1:31" x14ac:dyDescent="0.25">
      <c r="A3" t="s">
        <v>332</v>
      </c>
      <c r="B3" t="s">
        <v>488</v>
      </c>
      <c r="C3" t="s">
        <v>489</v>
      </c>
      <c r="D3" t="s">
        <v>479</v>
      </c>
      <c r="E3" t="s">
        <v>490</v>
      </c>
      <c r="F3" t="s">
        <v>481</v>
      </c>
      <c r="G3" t="s">
        <v>68</v>
      </c>
      <c r="H3" t="s">
        <v>482</v>
      </c>
      <c r="I3" t="s">
        <v>483</v>
      </c>
      <c r="J3" t="s">
        <v>484</v>
      </c>
      <c r="K3" s="1">
        <v>45434</v>
      </c>
      <c r="L3" s="1">
        <v>45825</v>
      </c>
      <c r="M3" t="s">
        <v>491</v>
      </c>
      <c r="N3" t="s">
        <v>486</v>
      </c>
      <c r="P3" t="s">
        <v>487</v>
      </c>
      <c r="R3" t="s">
        <v>492</v>
      </c>
      <c r="T3" t="s">
        <v>337</v>
      </c>
      <c r="Z3" t="s">
        <v>1249</v>
      </c>
      <c r="AA3" t="s">
        <v>285</v>
      </c>
      <c r="AB3" s="1">
        <v>45790</v>
      </c>
      <c r="AC3" s="22" t="s">
        <v>1254</v>
      </c>
      <c r="AD3" t="s">
        <v>1000</v>
      </c>
    </row>
    <row r="4" spans="1:31" x14ac:dyDescent="0.25">
      <c r="A4" t="s">
        <v>323</v>
      </c>
      <c r="B4" t="s">
        <v>493</v>
      </c>
      <c r="C4" t="s">
        <v>494</v>
      </c>
      <c r="D4" t="s">
        <v>479</v>
      </c>
      <c r="E4" t="s">
        <v>495</v>
      </c>
      <c r="F4" t="s">
        <v>481</v>
      </c>
      <c r="G4" t="s">
        <v>68</v>
      </c>
      <c r="H4" t="s">
        <v>482</v>
      </c>
      <c r="I4" t="s">
        <v>483</v>
      </c>
      <c r="J4" t="s">
        <v>484</v>
      </c>
      <c r="K4" s="1">
        <v>45440</v>
      </c>
      <c r="L4" s="1">
        <v>45825</v>
      </c>
      <c r="M4" t="s">
        <v>496</v>
      </c>
      <c r="N4" t="s">
        <v>486</v>
      </c>
      <c r="P4" t="s">
        <v>487</v>
      </c>
      <c r="R4" t="s">
        <v>492</v>
      </c>
      <c r="T4" t="s">
        <v>327</v>
      </c>
      <c r="Z4" t="s">
        <v>1255</v>
      </c>
      <c r="AA4" t="s">
        <v>285</v>
      </c>
      <c r="AB4" s="1">
        <v>45753</v>
      </c>
      <c r="AC4" s="22" t="s">
        <v>1257</v>
      </c>
      <c r="AD4" t="s">
        <v>1000</v>
      </c>
    </row>
    <row r="5" spans="1:31" x14ac:dyDescent="0.25">
      <c r="A5" t="s">
        <v>318</v>
      </c>
      <c r="B5" t="s">
        <v>497</v>
      </c>
      <c r="C5" t="s">
        <v>498</v>
      </c>
      <c r="D5" t="s">
        <v>479</v>
      </c>
      <c r="E5" t="s">
        <v>499</v>
      </c>
      <c r="F5" t="s">
        <v>481</v>
      </c>
      <c r="G5" t="s">
        <v>68</v>
      </c>
      <c r="H5" t="s">
        <v>482</v>
      </c>
      <c r="I5" t="s">
        <v>483</v>
      </c>
      <c r="J5" t="s">
        <v>484</v>
      </c>
      <c r="K5" s="1">
        <v>45470</v>
      </c>
      <c r="L5" s="1">
        <v>45664</v>
      </c>
      <c r="M5" t="s">
        <v>500</v>
      </c>
      <c r="N5" t="s">
        <v>486</v>
      </c>
      <c r="P5" t="s">
        <v>487</v>
      </c>
      <c r="R5" t="s">
        <v>492</v>
      </c>
      <c r="T5" t="s">
        <v>321</v>
      </c>
      <c r="Z5" t="s">
        <v>1258</v>
      </c>
      <c r="AA5" t="s">
        <v>285</v>
      </c>
      <c r="AB5" s="1">
        <v>45862</v>
      </c>
      <c r="AC5" s="22" t="s">
        <v>1264</v>
      </c>
      <c r="AD5" t="s">
        <v>1000</v>
      </c>
    </row>
    <row r="6" spans="1:31" x14ac:dyDescent="0.25">
      <c r="A6" t="s">
        <v>255</v>
      </c>
      <c r="B6" t="s">
        <v>501</v>
      </c>
      <c r="C6" t="s">
        <v>502</v>
      </c>
      <c r="D6" t="s">
        <v>479</v>
      </c>
      <c r="E6" t="s">
        <v>503</v>
      </c>
      <c r="F6" t="s">
        <v>504</v>
      </c>
      <c r="G6" t="s">
        <v>68</v>
      </c>
      <c r="H6" t="s">
        <v>482</v>
      </c>
      <c r="I6" t="s">
        <v>483</v>
      </c>
      <c r="J6" t="s">
        <v>484</v>
      </c>
      <c r="K6" s="1">
        <v>45624</v>
      </c>
      <c r="L6" s="1">
        <v>45833</v>
      </c>
      <c r="M6" t="s">
        <v>505</v>
      </c>
      <c r="N6" t="s">
        <v>486</v>
      </c>
      <c r="P6" t="s">
        <v>506</v>
      </c>
      <c r="T6" t="s">
        <v>259</v>
      </c>
    </row>
    <row r="7" spans="1:31" x14ac:dyDescent="0.25">
      <c r="A7" t="s">
        <v>280</v>
      </c>
      <c r="B7" t="s">
        <v>501</v>
      </c>
      <c r="C7" t="s">
        <v>502</v>
      </c>
      <c r="D7" t="s">
        <v>479</v>
      </c>
      <c r="E7" t="s">
        <v>507</v>
      </c>
      <c r="F7" t="s">
        <v>504</v>
      </c>
      <c r="G7" t="s">
        <v>68</v>
      </c>
      <c r="H7" t="s">
        <v>482</v>
      </c>
      <c r="I7" t="s">
        <v>483</v>
      </c>
      <c r="J7" t="s">
        <v>484</v>
      </c>
      <c r="K7" s="1">
        <v>45608</v>
      </c>
      <c r="L7" s="1">
        <v>45833</v>
      </c>
      <c r="M7" t="s">
        <v>508</v>
      </c>
      <c r="N7" t="s">
        <v>486</v>
      </c>
      <c r="P7" t="s">
        <v>487</v>
      </c>
      <c r="R7" t="s">
        <v>492</v>
      </c>
      <c r="T7" t="s">
        <v>284</v>
      </c>
    </row>
    <row r="8" spans="1:31" x14ac:dyDescent="0.25">
      <c r="A8" t="s">
        <v>225</v>
      </c>
      <c r="B8" t="s">
        <v>501</v>
      </c>
      <c r="C8" t="s">
        <v>502</v>
      </c>
      <c r="D8" t="s">
        <v>479</v>
      </c>
      <c r="E8" t="s">
        <v>509</v>
      </c>
      <c r="F8" t="s">
        <v>481</v>
      </c>
      <c r="G8" t="s">
        <v>68</v>
      </c>
      <c r="H8" t="s">
        <v>482</v>
      </c>
      <c r="I8" t="s">
        <v>483</v>
      </c>
      <c r="J8" t="s">
        <v>484</v>
      </c>
      <c r="K8" s="1">
        <v>45649</v>
      </c>
      <c r="L8" s="1">
        <v>45664</v>
      </c>
      <c r="M8" t="s">
        <v>510</v>
      </c>
      <c r="N8" t="s">
        <v>486</v>
      </c>
      <c r="P8" t="s">
        <v>487</v>
      </c>
      <c r="R8" t="s">
        <v>18</v>
      </c>
      <c r="T8" t="s">
        <v>229</v>
      </c>
    </row>
    <row r="9" spans="1:31" x14ac:dyDescent="0.25">
      <c r="A9" t="s">
        <v>175</v>
      </c>
      <c r="B9" t="s">
        <v>511</v>
      </c>
      <c r="C9" t="s">
        <v>512</v>
      </c>
      <c r="D9" t="s">
        <v>479</v>
      </c>
      <c r="E9" t="s">
        <v>513</v>
      </c>
      <c r="F9" t="s">
        <v>481</v>
      </c>
      <c r="G9" t="s">
        <v>68</v>
      </c>
      <c r="H9" t="s">
        <v>482</v>
      </c>
      <c r="I9" t="s">
        <v>483</v>
      </c>
      <c r="J9" t="s">
        <v>484</v>
      </c>
      <c r="K9" s="1">
        <v>45707</v>
      </c>
      <c r="L9" s="1">
        <v>45834</v>
      </c>
      <c r="M9" t="s">
        <v>514</v>
      </c>
      <c r="N9" t="s">
        <v>486</v>
      </c>
      <c r="P9" t="s">
        <v>515</v>
      </c>
      <c r="R9" t="s">
        <v>18</v>
      </c>
      <c r="T9" t="s">
        <v>516</v>
      </c>
    </row>
    <row r="10" spans="1:31" x14ac:dyDescent="0.25">
      <c r="A10" t="s">
        <v>250</v>
      </c>
      <c r="B10" t="s">
        <v>517</v>
      </c>
      <c r="C10" t="s">
        <v>518</v>
      </c>
      <c r="D10" t="s">
        <v>519</v>
      </c>
      <c r="E10" t="s">
        <v>520</v>
      </c>
      <c r="F10" t="s">
        <v>521</v>
      </c>
      <c r="G10" t="s">
        <v>68</v>
      </c>
      <c r="H10" t="s">
        <v>482</v>
      </c>
      <c r="I10" t="s">
        <v>483</v>
      </c>
      <c r="J10" t="s">
        <v>484</v>
      </c>
      <c r="K10" s="1">
        <v>45841</v>
      </c>
      <c r="L10" s="1">
        <v>45664</v>
      </c>
      <c r="M10" t="s">
        <v>522</v>
      </c>
      <c r="N10" t="s">
        <v>486</v>
      </c>
      <c r="P10" t="s">
        <v>506</v>
      </c>
      <c r="R10" t="s">
        <v>18</v>
      </c>
      <c r="T10" t="s">
        <v>254</v>
      </c>
    </row>
    <row r="11" spans="1:31" x14ac:dyDescent="0.25">
      <c r="A11" t="s">
        <v>122</v>
      </c>
      <c r="B11" t="s">
        <v>523</v>
      </c>
      <c r="C11" t="s">
        <v>524</v>
      </c>
      <c r="D11" t="s">
        <v>479</v>
      </c>
      <c r="E11" t="s">
        <v>525</v>
      </c>
      <c r="F11" t="s">
        <v>481</v>
      </c>
      <c r="G11" t="s">
        <v>68</v>
      </c>
      <c r="H11" t="s">
        <v>482</v>
      </c>
      <c r="I11" t="s">
        <v>483</v>
      </c>
      <c r="J11" t="s">
        <v>484</v>
      </c>
      <c r="K11" s="1">
        <v>45729</v>
      </c>
      <c r="L11" s="1">
        <v>45833</v>
      </c>
      <c r="M11" t="s">
        <v>526</v>
      </c>
      <c r="N11" t="s">
        <v>486</v>
      </c>
      <c r="P11" t="s">
        <v>515</v>
      </c>
      <c r="R11" t="s">
        <v>18</v>
      </c>
      <c r="T11" t="s">
        <v>124</v>
      </c>
    </row>
    <row r="12" spans="1:31" x14ac:dyDescent="0.25">
      <c r="A12" t="s">
        <v>87</v>
      </c>
      <c r="B12" t="s">
        <v>523</v>
      </c>
      <c r="C12" t="s">
        <v>524</v>
      </c>
      <c r="D12" t="s">
        <v>479</v>
      </c>
      <c r="E12" t="s">
        <v>527</v>
      </c>
      <c r="F12" t="s">
        <v>481</v>
      </c>
      <c r="G12" t="s">
        <v>68</v>
      </c>
      <c r="H12" t="s">
        <v>482</v>
      </c>
      <c r="I12" t="s">
        <v>483</v>
      </c>
      <c r="J12" t="s">
        <v>484</v>
      </c>
      <c r="K12" s="1">
        <v>45735</v>
      </c>
      <c r="L12" s="1">
        <v>45833</v>
      </c>
      <c r="M12" t="s">
        <v>528</v>
      </c>
      <c r="N12" t="s">
        <v>486</v>
      </c>
      <c r="P12" t="s">
        <v>515</v>
      </c>
      <c r="R12" t="s">
        <v>18</v>
      </c>
      <c r="T12" t="s">
        <v>91</v>
      </c>
    </row>
    <row r="13" spans="1:31" x14ac:dyDescent="0.25">
      <c r="A13" t="s">
        <v>103</v>
      </c>
      <c r="B13" t="s">
        <v>529</v>
      </c>
      <c r="C13" t="s">
        <v>530</v>
      </c>
      <c r="D13" t="s">
        <v>479</v>
      </c>
      <c r="E13" t="s">
        <v>531</v>
      </c>
      <c r="F13" t="s">
        <v>481</v>
      </c>
      <c r="G13" t="s">
        <v>68</v>
      </c>
      <c r="H13" t="s">
        <v>482</v>
      </c>
      <c r="I13" t="s">
        <v>483</v>
      </c>
      <c r="J13" t="s">
        <v>484</v>
      </c>
      <c r="K13" s="1">
        <v>45768</v>
      </c>
      <c r="L13" s="1">
        <v>45853</v>
      </c>
      <c r="M13" t="s">
        <v>532</v>
      </c>
      <c r="N13" t="s">
        <v>486</v>
      </c>
      <c r="P13" t="s">
        <v>515</v>
      </c>
      <c r="R13" t="s">
        <v>18</v>
      </c>
      <c r="T13" t="s">
        <v>107</v>
      </c>
    </row>
    <row r="14" spans="1:31" x14ac:dyDescent="0.25">
      <c r="A14" t="s">
        <v>314</v>
      </c>
      <c r="B14" t="s">
        <v>533</v>
      </c>
      <c r="C14" t="s">
        <v>534</v>
      </c>
      <c r="D14" t="s">
        <v>479</v>
      </c>
      <c r="E14" t="s">
        <v>535</v>
      </c>
      <c r="F14" t="s">
        <v>481</v>
      </c>
      <c r="G14" t="s">
        <v>68</v>
      </c>
      <c r="H14" t="s">
        <v>482</v>
      </c>
      <c r="I14" t="s">
        <v>483</v>
      </c>
      <c r="J14" t="s">
        <v>484</v>
      </c>
      <c r="K14" s="1">
        <v>45772</v>
      </c>
      <c r="L14" s="1">
        <v>45827</v>
      </c>
      <c r="M14" t="s">
        <v>536</v>
      </c>
      <c r="N14" t="s">
        <v>486</v>
      </c>
      <c r="P14" t="s">
        <v>487</v>
      </c>
      <c r="R14" t="s">
        <v>18</v>
      </c>
      <c r="T14" t="s">
        <v>317</v>
      </c>
    </row>
    <row r="15" spans="1:31" x14ac:dyDescent="0.25">
      <c r="A15" t="s">
        <v>372</v>
      </c>
      <c r="B15" t="s">
        <v>537</v>
      </c>
      <c r="C15" t="s">
        <v>538</v>
      </c>
      <c r="D15" t="s">
        <v>479</v>
      </c>
      <c r="E15" t="s">
        <v>539</v>
      </c>
      <c r="F15" t="s">
        <v>481</v>
      </c>
      <c r="G15" t="s">
        <v>68</v>
      </c>
      <c r="H15" t="s">
        <v>482</v>
      </c>
      <c r="I15" t="s">
        <v>483</v>
      </c>
      <c r="J15" t="s">
        <v>484</v>
      </c>
      <c r="K15" s="1">
        <v>45772</v>
      </c>
      <c r="L15" s="1">
        <v>45664</v>
      </c>
      <c r="M15" t="s">
        <v>540</v>
      </c>
      <c r="N15" t="s">
        <v>486</v>
      </c>
      <c r="P15" t="s">
        <v>487</v>
      </c>
      <c r="R15" t="s">
        <v>18</v>
      </c>
      <c r="T15" t="s">
        <v>374</v>
      </c>
    </row>
    <row r="16" spans="1:31" x14ac:dyDescent="0.25">
      <c r="A16" t="s">
        <v>382</v>
      </c>
      <c r="B16" t="s">
        <v>541</v>
      </c>
      <c r="C16" t="s">
        <v>542</v>
      </c>
      <c r="D16" t="s">
        <v>479</v>
      </c>
      <c r="E16" t="s">
        <v>543</v>
      </c>
      <c r="F16" t="s">
        <v>481</v>
      </c>
      <c r="G16" t="s">
        <v>68</v>
      </c>
      <c r="H16" t="s">
        <v>482</v>
      </c>
      <c r="I16" t="s">
        <v>483</v>
      </c>
      <c r="J16" t="s">
        <v>484</v>
      </c>
      <c r="K16" s="1">
        <v>45776</v>
      </c>
      <c r="L16" s="1">
        <v>45826</v>
      </c>
      <c r="N16" t="s">
        <v>486</v>
      </c>
      <c r="P16" t="s">
        <v>487</v>
      </c>
      <c r="R16" t="s">
        <v>18</v>
      </c>
      <c r="T16" t="s">
        <v>386</v>
      </c>
    </row>
    <row r="17" spans="1:20" x14ac:dyDescent="0.25">
      <c r="A17" t="s">
        <v>236</v>
      </c>
      <c r="B17" t="s">
        <v>544</v>
      </c>
      <c r="C17" t="s">
        <v>545</v>
      </c>
      <c r="D17" t="s">
        <v>479</v>
      </c>
      <c r="E17" t="s">
        <v>546</v>
      </c>
      <c r="F17" t="s">
        <v>481</v>
      </c>
      <c r="G17" t="s">
        <v>68</v>
      </c>
      <c r="H17" t="s">
        <v>482</v>
      </c>
      <c r="I17" t="s">
        <v>483</v>
      </c>
      <c r="J17" t="s">
        <v>484</v>
      </c>
      <c r="K17" s="1">
        <v>45777</v>
      </c>
      <c r="L17" s="1">
        <v>45833</v>
      </c>
      <c r="N17" t="s">
        <v>486</v>
      </c>
      <c r="P17" t="s">
        <v>207</v>
      </c>
      <c r="R17" t="s">
        <v>18</v>
      </c>
      <c r="T17" t="s">
        <v>240</v>
      </c>
    </row>
    <row r="18" spans="1:20" x14ac:dyDescent="0.25">
      <c r="A18" t="s">
        <v>193</v>
      </c>
      <c r="B18" t="s">
        <v>547</v>
      </c>
      <c r="C18" t="s">
        <v>196</v>
      </c>
      <c r="D18" t="s">
        <v>479</v>
      </c>
      <c r="E18" t="s">
        <v>548</v>
      </c>
      <c r="F18" t="s">
        <v>521</v>
      </c>
      <c r="G18" t="s">
        <v>68</v>
      </c>
      <c r="H18" t="s">
        <v>482</v>
      </c>
      <c r="I18" t="s">
        <v>483</v>
      </c>
      <c r="J18" t="s">
        <v>484</v>
      </c>
      <c r="K18" s="1">
        <v>45792</v>
      </c>
      <c r="L18" s="1">
        <v>45828</v>
      </c>
      <c r="N18" t="s">
        <v>549</v>
      </c>
      <c r="P18" t="s">
        <v>487</v>
      </c>
      <c r="R18" t="s">
        <v>18</v>
      </c>
      <c r="T18" t="s">
        <v>197</v>
      </c>
    </row>
    <row r="19" spans="1:20" x14ac:dyDescent="0.25">
      <c r="A19" t="s">
        <v>108</v>
      </c>
      <c r="B19" t="s">
        <v>533</v>
      </c>
      <c r="C19" t="s">
        <v>534</v>
      </c>
      <c r="D19" t="s">
        <v>479</v>
      </c>
      <c r="E19" t="s">
        <v>550</v>
      </c>
      <c r="F19" t="s">
        <v>481</v>
      </c>
      <c r="G19" t="s">
        <v>68</v>
      </c>
      <c r="H19" t="s">
        <v>482</v>
      </c>
      <c r="I19" t="s">
        <v>483</v>
      </c>
      <c r="J19" t="s">
        <v>484</v>
      </c>
      <c r="K19" s="1">
        <v>45814</v>
      </c>
      <c r="L19" s="1">
        <v>45826</v>
      </c>
      <c r="M19" t="s">
        <v>551</v>
      </c>
      <c r="N19" t="s">
        <v>486</v>
      </c>
      <c r="P19" t="s">
        <v>487</v>
      </c>
      <c r="R19" t="s">
        <v>18</v>
      </c>
      <c r="T19" t="s">
        <v>109</v>
      </c>
    </row>
    <row r="20" spans="1:20" x14ac:dyDescent="0.25">
      <c r="A20" t="s">
        <v>117</v>
      </c>
      <c r="B20" t="s">
        <v>529</v>
      </c>
      <c r="C20" t="s">
        <v>530</v>
      </c>
      <c r="D20" t="s">
        <v>479</v>
      </c>
      <c r="E20" t="s">
        <v>552</v>
      </c>
      <c r="F20" t="s">
        <v>481</v>
      </c>
      <c r="G20" t="s">
        <v>68</v>
      </c>
      <c r="H20" t="s">
        <v>482</v>
      </c>
      <c r="I20" t="s">
        <v>483</v>
      </c>
      <c r="J20" t="s">
        <v>484</v>
      </c>
      <c r="K20" s="1">
        <v>45967</v>
      </c>
      <c r="L20" s="1">
        <v>45826</v>
      </c>
      <c r="N20" t="s">
        <v>486</v>
      </c>
      <c r="P20" t="s">
        <v>553</v>
      </c>
      <c r="T20" t="s">
        <v>121</v>
      </c>
    </row>
    <row r="21" spans="1:20" x14ac:dyDescent="0.25">
      <c r="A21" t="s">
        <v>65</v>
      </c>
      <c r="B21" t="s">
        <v>554</v>
      </c>
      <c r="C21" t="s">
        <v>555</v>
      </c>
      <c r="D21" t="s">
        <v>479</v>
      </c>
      <c r="E21" t="s">
        <v>556</v>
      </c>
      <c r="F21" t="s">
        <v>481</v>
      </c>
      <c r="G21" t="s">
        <v>68</v>
      </c>
      <c r="H21" t="s">
        <v>482</v>
      </c>
      <c r="I21" t="s">
        <v>483</v>
      </c>
      <c r="J21" t="s">
        <v>484</v>
      </c>
      <c r="K21" s="1">
        <v>45828</v>
      </c>
      <c r="L21" s="1">
        <v>45664</v>
      </c>
      <c r="N21" t="s">
        <v>486</v>
      </c>
      <c r="P21" t="s">
        <v>515</v>
      </c>
      <c r="R21" t="s">
        <v>18</v>
      </c>
      <c r="T21" t="s">
        <v>71</v>
      </c>
    </row>
    <row r="22" spans="1:20" x14ac:dyDescent="0.25">
      <c r="A22" t="s">
        <v>395</v>
      </c>
      <c r="B22" t="s">
        <v>557</v>
      </c>
      <c r="C22" t="s">
        <v>344</v>
      </c>
      <c r="D22" t="s">
        <v>479</v>
      </c>
      <c r="E22" t="s">
        <v>558</v>
      </c>
      <c r="F22" t="s">
        <v>504</v>
      </c>
      <c r="G22" t="s">
        <v>68</v>
      </c>
      <c r="H22" t="s">
        <v>482</v>
      </c>
      <c r="I22" t="s">
        <v>483</v>
      </c>
      <c r="J22" t="s">
        <v>484</v>
      </c>
      <c r="K22" s="1">
        <v>45834</v>
      </c>
      <c r="L22" s="1">
        <v>45859</v>
      </c>
      <c r="N22" t="s">
        <v>559</v>
      </c>
      <c r="P22" t="s">
        <v>560</v>
      </c>
      <c r="T22" t="s">
        <v>397</v>
      </c>
    </row>
    <row r="23" spans="1:20" x14ac:dyDescent="0.25">
      <c r="A23" t="s">
        <v>602</v>
      </c>
      <c r="B23" t="s">
        <v>529</v>
      </c>
      <c r="C23" t="s">
        <v>530</v>
      </c>
      <c r="D23" t="s">
        <v>479</v>
      </c>
      <c r="E23" t="s">
        <v>605</v>
      </c>
      <c r="F23" t="s">
        <v>504</v>
      </c>
      <c r="G23" t="s">
        <v>68</v>
      </c>
      <c r="H23" t="s">
        <v>482</v>
      </c>
      <c r="I23" t="s">
        <v>483</v>
      </c>
      <c r="J23" t="s">
        <v>484</v>
      </c>
      <c r="K23" s="1">
        <v>45695</v>
      </c>
      <c r="L23" s="1">
        <v>45845</v>
      </c>
      <c r="N23" t="s">
        <v>486</v>
      </c>
      <c r="P23" t="s">
        <v>487</v>
      </c>
      <c r="R23" t="s">
        <v>18</v>
      </c>
      <c r="T23" t="s">
        <v>606</v>
      </c>
    </row>
    <row r="24" spans="1:20" x14ac:dyDescent="0.25">
      <c r="A24" t="s">
        <v>739</v>
      </c>
      <c r="B24" t="s">
        <v>740</v>
      </c>
      <c r="C24" t="s">
        <v>741</v>
      </c>
      <c r="D24" t="s">
        <v>479</v>
      </c>
      <c r="E24" t="s">
        <v>742</v>
      </c>
      <c r="F24" t="s">
        <v>481</v>
      </c>
      <c r="G24" t="s">
        <v>68</v>
      </c>
      <c r="H24" t="s">
        <v>482</v>
      </c>
      <c r="I24" t="s">
        <v>483</v>
      </c>
      <c r="J24" t="s">
        <v>484</v>
      </c>
      <c r="K24" s="1">
        <v>45907</v>
      </c>
      <c r="L24" s="1">
        <v>45854</v>
      </c>
      <c r="N24" t="s">
        <v>486</v>
      </c>
      <c r="P24" t="s">
        <v>515</v>
      </c>
      <c r="R24" t="s">
        <v>18</v>
      </c>
      <c r="T24" t="s">
        <v>743</v>
      </c>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6F55B-75A9-4B4E-92FB-CBAAE04C670E}">
  <sheetPr codeName="Hoja2"/>
  <dimension ref="A1:T43"/>
  <sheetViews>
    <sheetView workbookViewId="0">
      <selection activeCell="A10" sqref="A10"/>
    </sheetView>
  </sheetViews>
  <sheetFormatPr baseColWidth="10" defaultColWidth="11.42578125" defaultRowHeight="15" x14ac:dyDescent="0.25"/>
  <cols>
    <col min="1" max="1" width="20.42578125" customWidth="1"/>
    <col min="2" max="2" width="28" customWidth="1"/>
    <col min="3" max="3" width="25.28515625" customWidth="1"/>
    <col min="4" max="4" width="12.28515625" customWidth="1"/>
    <col min="5" max="5" width="255.7109375" bestFit="1" customWidth="1"/>
    <col min="6" max="6" width="12.28515625" customWidth="1"/>
    <col min="8" max="8" width="27.5703125" customWidth="1"/>
    <col min="9" max="9" width="19.42578125" customWidth="1"/>
    <col min="10" max="10" width="20" customWidth="1"/>
    <col min="11" max="11" width="17.140625" customWidth="1"/>
    <col min="12" max="12" width="18.42578125" customWidth="1"/>
    <col min="13" max="13" width="13.140625" customWidth="1"/>
    <col min="14" max="14" width="37.5703125" customWidth="1"/>
    <col min="15" max="15" width="39" customWidth="1"/>
    <col min="16" max="16" width="23.42578125" customWidth="1"/>
    <col min="17" max="17" width="26.42578125" customWidth="1"/>
    <col min="18" max="18" width="17" customWidth="1"/>
    <col min="19" max="19" width="20.28515625" customWidth="1"/>
  </cols>
  <sheetData>
    <row r="1" spans="1:20" ht="23.25" customHeight="1" x14ac:dyDescent="0.25">
      <c r="A1" s="24" t="s">
        <v>457</v>
      </c>
      <c r="B1" s="24" t="s">
        <v>458</v>
      </c>
      <c r="C1" s="24" t="s">
        <v>459</v>
      </c>
      <c r="D1" s="24" t="s">
        <v>460</v>
      </c>
      <c r="E1" s="24" t="s">
        <v>461</v>
      </c>
      <c r="F1" s="24" t="s">
        <v>462</v>
      </c>
      <c r="G1" s="24" t="s">
        <v>463</v>
      </c>
      <c r="H1" s="24" t="s">
        <v>464</v>
      </c>
      <c r="I1" s="24" t="s">
        <v>465</v>
      </c>
      <c r="J1" s="24" t="s">
        <v>466</v>
      </c>
      <c r="K1" s="24" t="s">
        <v>467</v>
      </c>
      <c r="L1" s="24" t="s">
        <v>468</v>
      </c>
      <c r="M1" s="24" t="s">
        <v>469</v>
      </c>
      <c r="N1" s="24" t="s">
        <v>470</v>
      </c>
      <c r="O1" s="24" t="s">
        <v>471</v>
      </c>
      <c r="P1" s="24" t="s">
        <v>472</v>
      </c>
      <c r="Q1" s="24" t="s">
        <v>473</v>
      </c>
      <c r="R1" s="24" t="s">
        <v>474</v>
      </c>
      <c r="S1" s="24" t="s">
        <v>475</v>
      </c>
      <c r="T1" s="5" t="s">
        <v>476</v>
      </c>
    </row>
    <row r="2" spans="1:20" ht="23.25" hidden="1" customHeight="1" x14ac:dyDescent="0.25">
      <c r="A2" s="137" t="s">
        <v>220</v>
      </c>
      <c r="B2" s="26" t="s">
        <v>477</v>
      </c>
      <c r="C2" s="26" t="s">
        <v>478</v>
      </c>
      <c r="D2" s="26" t="s">
        <v>479</v>
      </c>
      <c r="E2" s="63" t="s">
        <v>480</v>
      </c>
      <c r="F2" s="26" t="s">
        <v>481</v>
      </c>
      <c r="G2" s="26" t="s">
        <v>1060</v>
      </c>
      <c r="H2" s="26" t="s">
        <v>482</v>
      </c>
      <c r="I2" s="26" t="s">
        <v>483</v>
      </c>
      <c r="J2" s="26" t="s">
        <v>484</v>
      </c>
      <c r="K2" s="65" t="s">
        <v>561</v>
      </c>
      <c r="L2" s="270">
        <v>45939.490798611114</v>
      </c>
      <c r="M2" s="63" t="s">
        <v>1272</v>
      </c>
      <c r="N2" s="26" t="s">
        <v>486</v>
      </c>
      <c r="O2" s="26" t="s">
        <v>1061</v>
      </c>
      <c r="P2" s="26" t="s">
        <v>487</v>
      </c>
      <c r="Q2" s="26" t="s">
        <v>487</v>
      </c>
      <c r="R2" s="26" t="s">
        <v>18</v>
      </c>
      <c r="S2" s="26" t="s">
        <v>18</v>
      </c>
      <c r="T2" t="s">
        <v>224</v>
      </c>
    </row>
    <row r="3" spans="1:20" ht="23.25" hidden="1" customHeight="1" x14ac:dyDescent="0.25">
      <c r="A3" s="137" t="s">
        <v>332</v>
      </c>
      <c r="B3" s="26" t="s">
        <v>488</v>
      </c>
      <c r="C3" s="26" t="s">
        <v>489</v>
      </c>
      <c r="D3" s="26" t="s">
        <v>479</v>
      </c>
      <c r="E3" s="63" t="s">
        <v>490</v>
      </c>
      <c r="F3" s="26" t="s">
        <v>481</v>
      </c>
      <c r="G3" s="26" t="s">
        <v>68</v>
      </c>
      <c r="H3" s="26" t="s">
        <v>482</v>
      </c>
      <c r="I3" s="26" t="s">
        <v>483</v>
      </c>
      <c r="J3" s="26" t="s">
        <v>484</v>
      </c>
      <c r="K3" s="65" t="s">
        <v>562</v>
      </c>
      <c r="L3" s="270" t="s">
        <v>984</v>
      </c>
      <c r="M3" s="26" t="s">
        <v>491</v>
      </c>
      <c r="N3" s="26" t="s">
        <v>486</v>
      </c>
      <c r="O3" s="26"/>
      <c r="P3" s="26" t="s">
        <v>487</v>
      </c>
      <c r="Q3" s="26"/>
      <c r="R3" s="26" t="s">
        <v>492</v>
      </c>
      <c r="S3" s="26"/>
      <c r="T3" t="s">
        <v>337</v>
      </c>
    </row>
    <row r="4" spans="1:20" ht="23.25" hidden="1" customHeight="1" x14ac:dyDescent="0.25">
      <c r="A4" s="137" t="s">
        <v>323</v>
      </c>
      <c r="B4" s="26" t="s">
        <v>493</v>
      </c>
      <c r="C4" s="26" t="s">
        <v>494</v>
      </c>
      <c r="D4" s="26" t="s">
        <v>479</v>
      </c>
      <c r="E4" s="63" t="s">
        <v>495</v>
      </c>
      <c r="F4" s="26" t="s">
        <v>481</v>
      </c>
      <c r="G4" s="26" t="s">
        <v>68</v>
      </c>
      <c r="H4" s="26" t="s">
        <v>482</v>
      </c>
      <c r="I4" s="26" t="s">
        <v>483</v>
      </c>
      <c r="J4" s="26" t="s">
        <v>484</v>
      </c>
      <c r="K4" s="65" t="s">
        <v>563</v>
      </c>
      <c r="L4" s="270" t="s">
        <v>985</v>
      </c>
      <c r="M4" s="63" t="s">
        <v>496</v>
      </c>
      <c r="N4" s="26" t="s">
        <v>486</v>
      </c>
      <c r="O4" s="26"/>
      <c r="P4" s="26" t="s">
        <v>487</v>
      </c>
      <c r="Q4" s="26"/>
      <c r="R4" s="26" t="s">
        <v>492</v>
      </c>
      <c r="S4" s="26"/>
      <c r="T4" t="s">
        <v>327</v>
      </c>
    </row>
    <row r="5" spans="1:20" ht="23.25" hidden="1" customHeight="1" x14ac:dyDescent="0.25">
      <c r="A5" s="137" t="s">
        <v>318</v>
      </c>
      <c r="B5" s="26" t="s">
        <v>497</v>
      </c>
      <c r="C5" s="26" t="s">
        <v>498</v>
      </c>
      <c r="D5" s="26" t="s">
        <v>479</v>
      </c>
      <c r="E5" s="63" t="s">
        <v>499</v>
      </c>
      <c r="F5" s="26" t="s">
        <v>481</v>
      </c>
      <c r="G5" s="26" t="s">
        <v>68</v>
      </c>
      <c r="H5" s="26" t="s">
        <v>482</v>
      </c>
      <c r="I5" s="26" t="s">
        <v>483</v>
      </c>
      <c r="J5" s="26" t="s">
        <v>484</v>
      </c>
      <c r="K5" s="65" t="s">
        <v>564</v>
      </c>
      <c r="L5" s="270">
        <v>45664.357974537037</v>
      </c>
      <c r="M5" s="26" t="s">
        <v>500</v>
      </c>
      <c r="N5" s="26" t="s">
        <v>486</v>
      </c>
      <c r="O5" s="26"/>
      <c r="P5" s="26" t="s">
        <v>487</v>
      </c>
      <c r="Q5" s="26"/>
      <c r="R5" s="26" t="s">
        <v>492</v>
      </c>
      <c r="S5" s="26"/>
      <c r="T5" t="s">
        <v>321</v>
      </c>
    </row>
    <row r="6" spans="1:20" ht="23.25" hidden="1" customHeight="1" x14ac:dyDescent="0.25">
      <c r="A6" s="137" t="s">
        <v>255</v>
      </c>
      <c r="B6" s="26" t="s">
        <v>501</v>
      </c>
      <c r="C6" s="26" t="s">
        <v>502</v>
      </c>
      <c r="D6" s="26" t="s">
        <v>479</v>
      </c>
      <c r="E6" s="63" t="s">
        <v>503</v>
      </c>
      <c r="F6" s="26" t="s">
        <v>504</v>
      </c>
      <c r="G6" s="26" t="s">
        <v>68</v>
      </c>
      <c r="H6" s="26" t="s">
        <v>482</v>
      </c>
      <c r="I6" s="26" t="s">
        <v>483</v>
      </c>
      <c r="J6" s="26" t="s">
        <v>484</v>
      </c>
      <c r="K6" s="65" t="s">
        <v>565</v>
      </c>
      <c r="L6" s="270" t="s">
        <v>986</v>
      </c>
      <c r="M6" s="63" t="s">
        <v>505</v>
      </c>
      <c r="N6" s="26" t="s">
        <v>486</v>
      </c>
      <c r="O6" s="26"/>
      <c r="P6" s="26" t="s">
        <v>506</v>
      </c>
      <c r="Q6" s="26"/>
      <c r="R6" s="26"/>
      <c r="S6" s="26"/>
      <c r="T6" t="s">
        <v>259</v>
      </c>
    </row>
    <row r="7" spans="1:20" ht="23.25" hidden="1" customHeight="1" x14ac:dyDescent="0.25">
      <c r="A7" s="137" t="s">
        <v>280</v>
      </c>
      <c r="B7" s="26" t="s">
        <v>501</v>
      </c>
      <c r="C7" s="26" t="s">
        <v>502</v>
      </c>
      <c r="D7" s="26" t="s">
        <v>479</v>
      </c>
      <c r="E7" s="63" t="s">
        <v>507</v>
      </c>
      <c r="F7" s="26" t="s">
        <v>504</v>
      </c>
      <c r="G7" s="26" t="s">
        <v>68</v>
      </c>
      <c r="H7" s="26" t="s">
        <v>482</v>
      </c>
      <c r="I7" s="26" t="s">
        <v>483</v>
      </c>
      <c r="J7" s="26" t="s">
        <v>484</v>
      </c>
      <c r="K7" s="65">
        <v>45608.390648148146</v>
      </c>
      <c r="L7" s="270" t="s">
        <v>987</v>
      </c>
      <c r="M7" s="26" t="s">
        <v>508</v>
      </c>
      <c r="N7" s="26" t="s">
        <v>486</v>
      </c>
      <c r="O7" s="26"/>
      <c r="P7" s="26" t="s">
        <v>487</v>
      </c>
      <c r="Q7" s="26"/>
      <c r="R7" s="26" t="s">
        <v>492</v>
      </c>
      <c r="S7" s="26"/>
      <c r="T7" t="s">
        <v>284</v>
      </c>
    </row>
    <row r="8" spans="1:20" ht="23.25" hidden="1" customHeight="1" x14ac:dyDescent="0.25">
      <c r="A8" s="137" t="s">
        <v>225</v>
      </c>
      <c r="B8" s="26" t="s">
        <v>501</v>
      </c>
      <c r="C8" s="26" t="s">
        <v>502</v>
      </c>
      <c r="D8" s="26" t="s">
        <v>479</v>
      </c>
      <c r="E8" s="63" t="s">
        <v>509</v>
      </c>
      <c r="F8" s="26" t="s">
        <v>481</v>
      </c>
      <c r="G8" s="26" t="s">
        <v>68</v>
      </c>
      <c r="H8" s="26" t="s">
        <v>482</v>
      </c>
      <c r="I8" s="26" t="s">
        <v>483</v>
      </c>
      <c r="J8" s="26" t="s">
        <v>484</v>
      </c>
      <c r="K8" s="65" t="s">
        <v>566</v>
      </c>
      <c r="L8" s="270">
        <v>45664.36986111111</v>
      </c>
      <c r="M8" s="26" t="s">
        <v>510</v>
      </c>
      <c r="N8" s="26" t="s">
        <v>486</v>
      </c>
      <c r="O8" s="26"/>
      <c r="P8" s="26" t="s">
        <v>487</v>
      </c>
      <c r="Q8" s="26"/>
      <c r="R8" s="26" t="s">
        <v>18</v>
      </c>
      <c r="S8" s="26"/>
      <c r="T8" t="s">
        <v>229</v>
      </c>
    </row>
    <row r="9" spans="1:20" ht="23.25" hidden="1" customHeight="1" x14ac:dyDescent="0.25">
      <c r="A9" s="137" t="s">
        <v>175</v>
      </c>
      <c r="B9" s="26" t="s">
        <v>511</v>
      </c>
      <c r="C9" s="26" t="s">
        <v>512</v>
      </c>
      <c r="D9" s="26" t="s">
        <v>479</v>
      </c>
      <c r="E9" s="63" t="s">
        <v>513</v>
      </c>
      <c r="F9" s="26" t="s">
        <v>481</v>
      </c>
      <c r="G9" s="26" t="s">
        <v>1060</v>
      </c>
      <c r="H9" s="26" t="s">
        <v>482</v>
      </c>
      <c r="I9" s="26" t="s">
        <v>483</v>
      </c>
      <c r="J9" s="26" t="s">
        <v>484</v>
      </c>
      <c r="K9" s="65" t="s">
        <v>567</v>
      </c>
      <c r="L9" s="270">
        <v>45939.489814814813</v>
      </c>
      <c r="M9" s="63" t="s">
        <v>1272</v>
      </c>
      <c r="N9" s="26" t="s">
        <v>486</v>
      </c>
      <c r="O9" s="26" t="s">
        <v>1061</v>
      </c>
      <c r="P9" s="26" t="s">
        <v>515</v>
      </c>
      <c r="Q9" s="26" t="s">
        <v>515</v>
      </c>
      <c r="R9" s="26" t="s">
        <v>18</v>
      </c>
      <c r="S9" s="26" t="s">
        <v>18</v>
      </c>
      <c r="T9" t="s">
        <v>516</v>
      </c>
    </row>
    <row r="10" spans="1:20" ht="23.25" customHeight="1" x14ac:dyDescent="0.25">
      <c r="A10" s="137" t="s">
        <v>295</v>
      </c>
      <c r="B10" s="26" t="s">
        <v>517</v>
      </c>
      <c r="C10" s="26" t="s">
        <v>518</v>
      </c>
      <c r="D10" s="26" t="s">
        <v>1240</v>
      </c>
      <c r="E10" s="293" t="s">
        <v>1241</v>
      </c>
      <c r="F10" s="26" t="s">
        <v>521</v>
      </c>
      <c r="G10" s="26" t="s">
        <v>68</v>
      </c>
      <c r="H10" s="26"/>
      <c r="I10" s="26" t="s">
        <v>1242</v>
      </c>
      <c r="J10" s="26" t="s">
        <v>285</v>
      </c>
      <c r="K10" s="65">
        <v>45811.636122685188</v>
      </c>
      <c r="L10" s="270">
        <v>45999.683842592596</v>
      </c>
      <c r="M10" s="63" t="s">
        <v>1243</v>
      </c>
      <c r="N10" s="26" t="s">
        <v>549</v>
      </c>
      <c r="O10" s="26"/>
      <c r="P10" s="26" t="s">
        <v>506</v>
      </c>
      <c r="Q10" s="26"/>
      <c r="R10" s="26" t="s">
        <v>18</v>
      </c>
      <c r="S10" s="26"/>
      <c r="T10" t="s">
        <v>1244</v>
      </c>
    </row>
    <row r="11" spans="1:20" ht="23.25" hidden="1" customHeight="1" x14ac:dyDescent="0.25">
      <c r="A11" s="137" t="s">
        <v>250</v>
      </c>
      <c r="B11" s="26" t="s">
        <v>517</v>
      </c>
      <c r="C11" s="26" t="s">
        <v>518</v>
      </c>
      <c r="D11" s="26" t="s">
        <v>519</v>
      </c>
      <c r="E11" s="63" t="s">
        <v>520</v>
      </c>
      <c r="F11" s="26" t="s">
        <v>521</v>
      </c>
      <c r="G11" s="26" t="s">
        <v>68</v>
      </c>
      <c r="H11" s="26" t="s">
        <v>482</v>
      </c>
      <c r="I11" s="26" t="s">
        <v>483</v>
      </c>
      <c r="J11" s="26" t="s">
        <v>484</v>
      </c>
      <c r="K11" s="65">
        <v>45841.651342592595</v>
      </c>
      <c r="L11" s="270">
        <v>45664.484826388885</v>
      </c>
      <c r="M11" s="26" t="s">
        <v>522</v>
      </c>
      <c r="N11" s="26" t="s">
        <v>486</v>
      </c>
      <c r="O11" s="26"/>
      <c r="P11" s="26" t="s">
        <v>506</v>
      </c>
      <c r="Q11" s="26"/>
      <c r="R11" s="26" t="s">
        <v>18</v>
      </c>
      <c r="S11" s="26"/>
      <c r="T11" t="s">
        <v>254</v>
      </c>
    </row>
    <row r="12" spans="1:20" ht="23.25" hidden="1" customHeight="1" x14ac:dyDescent="0.25">
      <c r="A12" s="25" t="s">
        <v>122</v>
      </c>
      <c r="B12" s="26" t="s">
        <v>523</v>
      </c>
      <c r="C12" s="26" t="s">
        <v>524</v>
      </c>
      <c r="D12" s="26" t="s">
        <v>479</v>
      </c>
      <c r="E12" s="63" t="s">
        <v>525</v>
      </c>
      <c r="F12" s="26" t="s">
        <v>481</v>
      </c>
      <c r="G12" s="26" t="s">
        <v>68</v>
      </c>
      <c r="H12" s="26" t="s">
        <v>482</v>
      </c>
      <c r="I12" s="26" t="s">
        <v>483</v>
      </c>
      <c r="J12" s="26" t="s">
        <v>484</v>
      </c>
      <c r="K12" s="65" t="s">
        <v>568</v>
      </c>
      <c r="L12" s="118" t="s">
        <v>988</v>
      </c>
      <c r="M12" s="63" t="s">
        <v>526</v>
      </c>
      <c r="N12" s="26" t="s">
        <v>486</v>
      </c>
      <c r="O12" s="26"/>
      <c r="P12" s="26" t="s">
        <v>515</v>
      </c>
      <c r="Q12" s="26"/>
      <c r="R12" s="26" t="s">
        <v>18</v>
      </c>
      <c r="S12" s="26"/>
      <c r="T12" t="s">
        <v>124</v>
      </c>
    </row>
    <row r="13" spans="1:20" ht="23.25" hidden="1" customHeight="1" x14ac:dyDescent="0.25">
      <c r="A13" s="27" t="s">
        <v>87</v>
      </c>
      <c r="B13" s="28" t="s">
        <v>523</v>
      </c>
      <c r="C13" s="28" t="s">
        <v>524</v>
      </c>
      <c r="D13" s="28" t="s">
        <v>479</v>
      </c>
      <c r="E13" s="64" t="s">
        <v>527</v>
      </c>
      <c r="F13" s="28" t="s">
        <v>481</v>
      </c>
      <c r="G13" s="28" t="s">
        <v>68</v>
      </c>
      <c r="H13" s="28" t="s">
        <v>482</v>
      </c>
      <c r="I13" s="28" t="s">
        <v>483</v>
      </c>
      <c r="J13" s="28" t="s">
        <v>484</v>
      </c>
      <c r="K13" s="66" t="s">
        <v>569</v>
      </c>
      <c r="L13" s="119" t="s">
        <v>989</v>
      </c>
      <c r="M13" s="28" t="s">
        <v>528</v>
      </c>
      <c r="N13" s="28" t="s">
        <v>486</v>
      </c>
      <c r="O13" s="28"/>
      <c r="P13" s="28" t="s">
        <v>515</v>
      </c>
      <c r="Q13" s="28"/>
      <c r="R13" s="28" t="s">
        <v>18</v>
      </c>
      <c r="S13" s="28"/>
      <c r="T13" t="s">
        <v>91</v>
      </c>
    </row>
    <row r="14" spans="1:20" ht="23.25" hidden="1" customHeight="1" x14ac:dyDescent="0.25">
      <c r="A14" s="25" t="s">
        <v>103</v>
      </c>
      <c r="B14" s="26" t="s">
        <v>529</v>
      </c>
      <c r="C14" s="26" t="s">
        <v>530</v>
      </c>
      <c r="D14" s="26" t="s">
        <v>479</v>
      </c>
      <c r="E14" s="63" t="s">
        <v>531</v>
      </c>
      <c r="F14" s="26" t="s">
        <v>481</v>
      </c>
      <c r="G14" s="26" t="s">
        <v>68</v>
      </c>
      <c r="H14" s="26" t="s">
        <v>482</v>
      </c>
      <c r="I14" s="26" t="s">
        <v>483</v>
      </c>
      <c r="J14" s="26" t="s">
        <v>484</v>
      </c>
      <c r="K14" s="65" t="s">
        <v>570</v>
      </c>
      <c r="L14" s="118" t="s">
        <v>990</v>
      </c>
      <c r="M14" s="63" t="s">
        <v>532</v>
      </c>
      <c r="N14" s="26" t="s">
        <v>486</v>
      </c>
      <c r="O14" s="26"/>
      <c r="P14" s="26" t="s">
        <v>515</v>
      </c>
      <c r="Q14" s="26"/>
      <c r="R14" s="26" t="s">
        <v>18</v>
      </c>
      <c r="S14" s="26"/>
      <c r="T14" t="s">
        <v>107</v>
      </c>
    </row>
    <row r="15" spans="1:20" ht="23.25" hidden="1" customHeight="1" x14ac:dyDescent="0.25">
      <c r="A15" s="27" t="s">
        <v>372</v>
      </c>
      <c r="B15" s="28" t="s">
        <v>537</v>
      </c>
      <c r="C15" s="28" t="s">
        <v>538</v>
      </c>
      <c r="D15" s="28" t="s">
        <v>479</v>
      </c>
      <c r="E15" s="64" t="s">
        <v>539</v>
      </c>
      <c r="F15" s="28" t="s">
        <v>481</v>
      </c>
      <c r="G15" s="28" t="s">
        <v>68</v>
      </c>
      <c r="H15" s="28" t="s">
        <v>482</v>
      </c>
      <c r="I15" s="28" t="s">
        <v>483</v>
      </c>
      <c r="J15" s="28" t="s">
        <v>484</v>
      </c>
      <c r="K15" s="66" t="s">
        <v>571</v>
      </c>
      <c r="L15" s="119">
        <v>45664.448171296295</v>
      </c>
      <c r="M15" s="28" t="s">
        <v>540</v>
      </c>
      <c r="N15" s="28" t="s">
        <v>486</v>
      </c>
      <c r="O15" s="28"/>
      <c r="P15" s="28" t="s">
        <v>487</v>
      </c>
      <c r="Q15" s="28"/>
      <c r="R15" s="28" t="s">
        <v>18</v>
      </c>
      <c r="S15" s="28"/>
      <c r="T15" t="s">
        <v>374</v>
      </c>
    </row>
    <row r="16" spans="1:20" ht="23.25" customHeight="1" x14ac:dyDescent="0.25">
      <c r="A16" s="25" t="s">
        <v>1245</v>
      </c>
      <c r="B16" s="26" t="s">
        <v>533</v>
      </c>
      <c r="C16" s="26" t="s">
        <v>534</v>
      </c>
      <c r="D16" s="26" t="s">
        <v>479</v>
      </c>
      <c r="E16" s="293" t="s">
        <v>1246</v>
      </c>
      <c r="F16" s="26" t="s">
        <v>481</v>
      </c>
      <c r="G16" s="26" t="s">
        <v>68</v>
      </c>
      <c r="H16" s="26" t="s">
        <v>1232</v>
      </c>
      <c r="I16" s="26" t="s">
        <v>1242</v>
      </c>
      <c r="J16" s="26" t="s">
        <v>285</v>
      </c>
      <c r="K16" s="65">
        <v>45996.50372685185</v>
      </c>
      <c r="L16" s="118">
        <v>45999.656597222223</v>
      </c>
      <c r="M16" s="63" t="s">
        <v>1247</v>
      </c>
      <c r="N16" s="26" t="s">
        <v>486</v>
      </c>
      <c r="O16" s="26"/>
      <c r="P16" s="26" t="s">
        <v>487</v>
      </c>
      <c r="Q16" s="26"/>
      <c r="R16" s="26" t="s">
        <v>18</v>
      </c>
      <c r="S16" s="26"/>
      <c r="T16" t="s">
        <v>1248</v>
      </c>
    </row>
    <row r="17" spans="1:20" ht="23.25" customHeight="1" x14ac:dyDescent="0.25">
      <c r="A17" s="27" t="s">
        <v>1249</v>
      </c>
      <c r="B17" s="28" t="s">
        <v>544</v>
      </c>
      <c r="C17" s="28" t="s">
        <v>545</v>
      </c>
      <c r="D17" s="28" t="s">
        <v>479</v>
      </c>
      <c r="E17" s="294" t="s">
        <v>1250</v>
      </c>
      <c r="F17" s="28" t="s">
        <v>481</v>
      </c>
      <c r="G17" s="28" t="s">
        <v>68</v>
      </c>
      <c r="H17" s="28" t="s">
        <v>1232</v>
      </c>
      <c r="I17" s="28" t="s">
        <v>1242</v>
      </c>
      <c r="J17" s="28" t="s">
        <v>285</v>
      </c>
      <c r="K17" s="66" t="s">
        <v>1251</v>
      </c>
      <c r="L17" s="119" t="s">
        <v>1252</v>
      </c>
      <c r="M17" s="64" t="s">
        <v>1253</v>
      </c>
      <c r="N17" s="28" t="s">
        <v>486</v>
      </c>
      <c r="O17" s="28"/>
      <c r="P17" s="28" t="s">
        <v>487</v>
      </c>
      <c r="Q17" s="28"/>
      <c r="R17" s="28" t="s">
        <v>18</v>
      </c>
      <c r="S17" s="28"/>
      <c r="T17" t="s">
        <v>1254</v>
      </c>
    </row>
    <row r="18" spans="1:20" ht="23.25" hidden="1" customHeight="1" x14ac:dyDescent="0.25">
      <c r="A18" s="25" t="s">
        <v>193</v>
      </c>
      <c r="B18" s="26" t="s">
        <v>547</v>
      </c>
      <c r="C18" s="26" t="s">
        <v>196</v>
      </c>
      <c r="D18" s="26" t="s">
        <v>479</v>
      </c>
      <c r="E18" s="63" t="s">
        <v>548</v>
      </c>
      <c r="F18" s="26" t="s">
        <v>521</v>
      </c>
      <c r="G18" s="26" t="s">
        <v>68</v>
      </c>
      <c r="H18" s="26" t="s">
        <v>482</v>
      </c>
      <c r="I18" s="26" t="s">
        <v>483</v>
      </c>
      <c r="J18" s="26" t="s">
        <v>484</v>
      </c>
      <c r="K18" s="65" t="s">
        <v>572</v>
      </c>
      <c r="L18" s="118" t="s">
        <v>991</v>
      </c>
      <c r="M18" s="26"/>
      <c r="N18" s="26" t="s">
        <v>549</v>
      </c>
      <c r="O18" s="26"/>
      <c r="P18" s="26" t="s">
        <v>487</v>
      </c>
      <c r="Q18" s="26"/>
      <c r="R18" s="26" t="s">
        <v>18</v>
      </c>
      <c r="S18" s="26"/>
      <c r="T18" t="s">
        <v>197</v>
      </c>
    </row>
    <row r="19" spans="1:20" ht="23.25" customHeight="1" x14ac:dyDescent="0.25">
      <c r="A19" s="27" t="s">
        <v>1255</v>
      </c>
      <c r="B19" s="28" t="s">
        <v>544</v>
      </c>
      <c r="C19" s="28" t="s">
        <v>545</v>
      </c>
      <c r="D19" s="28" t="s">
        <v>479</v>
      </c>
      <c r="E19" s="294" t="s">
        <v>1256</v>
      </c>
      <c r="F19" s="28" t="s">
        <v>481</v>
      </c>
      <c r="G19" s="28" t="s">
        <v>1010</v>
      </c>
      <c r="H19" s="28" t="s">
        <v>1232</v>
      </c>
      <c r="I19" s="28" t="s">
        <v>1242</v>
      </c>
      <c r="J19" s="28" t="s">
        <v>285</v>
      </c>
      <c r="K19" s="66">
        <v>45753.604444444441</v>
      </c>
      <c r="L19" s="119">
        <v>45783.362303240741</v>
      </c>
      <c r="M19" s="28"/>
      <c r="N19" s="28" t="s">
        <v>486</v>
      </c>
      <c r="O19" s="28"/>
      <c r="P19" s="28"/>
      <c r="Q19" s="28"/>
      <c r="R19" s="28"/>
      <c r="S19" s="28"/>
      <c r="T19" t="s">
        <v>1257</v>
      </c>
    </row>
    <row r="20" spans="1:20" ht="23.25" hidden="1" customHeight="1" x14ac:dyDescent="0.25">
      <c r="A20" s="25" t="s">
        <v>108</v>
      </c>
      <c r="B20" s="26" t="s">
        <v>533</v>
      </c>
      <c r="C20" s="26" t="s">
        <v>534</v>
      </c>
      <c r="D20" s="26" t="s">
        <v>479</v>
      </c>
      <c r="E20" s="63" t="s">
        <v>550</v>
      </c>
      <c r="F20" s="26" t="s">
        <v>481</v>
      </c>
      <c r="G20" s="26" t="s">
        <v>68</v>
      </c>
      <c r="H20" s="26" t="s">
        <v>482</v>
      </c>
      <c r="I20" s="26" t="s">
        <v>483</v>
      </c>
      <c r="J20" s="26" t="s">
        <v>484</v>
      </c>
      <c r="K20" s="65">
        <v>45814.391527777778</v>
      </c>
      <c r="L20" s="118" t="s">
        <v>992</v>
      </c>
      <c r="M20" s="26" t="s">
        <v>551</v>
      </c>
      <c r="N20" s="26" t="s">
        <v>486</v>
      </c>
      <c r="O20" s="26"/>
      <c r="P20" s="26" t="s">
        <v>487</v>
      </c>
      <c r="Q20" s="26"/>
      <c r="R20" s="26" t="s">
        <v>18</v>
      </c>
      <c r="S20" s="26"/>
      <c r="T20" t="s">
        <v>109</v>
      </c>
    </row>
    <row r="21" spans="1:20" ht="23.25" hidden="1" customHeight="1" x14ac:dyDescent="0.25">
      <c r="A21" s="27" t="s">
        <v>117</v>
      </c>
      <c r="B21" s="28" t="s">
        <v>529</v>
      </c>
      <c r="C21" s="28" t="s">
        <v>530</v>
      </c>
      <c r="D21" s="28" t="s">
        <v>479</v>
      </c>
      <c r="E21" s="64" t="s">
        <v>552</v>
      </c>
      <c r="F21" s="28" t="s">
        <v>481</v>
      </c>
      <c r="G21" s="28" t="s">
        <v>68</v>
      </c>
      <c r="H21" s="28" t="s">
        <v>482</v>
      </c>
      <c r="I21" s="28" t="s">
        <v>483</v>
      </c>
      <c r="J21" s="28" t="s">
        <v>484</v>
      </c>
      <c r="K21" s="66">
        <v>45967.547685185185</v>
      </c>
      <c r="L21" s="119" t="s">
        <v>993</v>
      </c>
      <c r="M21" s="28"/>
      <c r="N21" s="28" t="s">
        <v>486</v>
      </c>
      <c r="O21" s="28"/>
      <c r="P21" s="28" t="s">
        <v>553</v>
      </c>
      <c r="Q21" s="28"/>
      <c r="R21" s="28"/>
      <c r="S21" s="28"/>
      <c r="T21" t="s">
        <v>121</v>
      </c>
    </row>
    <row r="22" spans="1:20" ht="23.25" hidden="1" customHeight="1" x14ac:dyDescent="0.25">
      <c r="A22" s="25" t="s">
        <v>65</v>
      </c>
      <c r="B22" s="26" t="s">
        <v>554</v>
      </c>
      <c r="C22" s="26" t="s">
        <v>555</v>
      </c>
      <c r="D22" s="26" t="s">
        <v>479</v>
      </c>
      <c r="E22" s="63" t="s">
        <v>556</v>
      </c>
      <c r="F22" s="26" t="s">
        <v>481</v>
      </c>
      <c r="G22" s="26" t="s">
        <v>68</v>
      </c>
      <c r="H22" s="26" t="s">
        <v>482</v>
      </c>
      <c r="I22" s="26" t="s">
        <v>483</v>
      </c>
      <c r="J22" s="26" t="s">
        <v>484</v>
      </c>
      <c r="K22" s="65" t="s">
        <v>573</v>
      </c>
      <c r="L22" s="118">
        <v>45664.456458333334</v>
      </c>
      <c r="M22" s="26"/>
      <c r="N22" s="26" t="s">
        <v>486</v>
      </c>
      <c r="O22" s="26"/>
      <c r="P22" s="26" t="s">
        <v>515</v>
      </c>
      <c r="Q22" s="26"/>
      <c r="R22" s="26" t="s">
        <v>18</v>
      </c>
      <c r="S22" s="26"/>
      <c r="T22" t="s">
        <v>71</v>
      </c>
    </row>
    <row r="23" spans="1:20" ht="23.25" hidden="1" customHeight="1" x14ac:dyDescent="0.25">
      <c r="A23" s="27" t="s">
        <v>395</v>
      </c>
      <c r="B23" s="28" t="s">
        <v>557</v>
      </c>
      <c r="C23" s="28" t="s">
        <v>344</v>
      </c>
      <c r="D23" s="28" t="s">
        <v>479</v>
      </c>
      <c r="E23" s="64" t="s">
        <v>558</v>
      </c>
      <c r="F23" s="28" t="s">
        <v>504</v>
      </c>
      <c r="G23" s="28" t="s">
        <v>68</v>
      </c>
      <c r="H23" s="28" t="s">
        <v>482</v>
      </c>
      <c r="I23" s="28" t="s">
        <v>483</v>
      </c>
      <c r="J23" s="28" t="s">
        <v>484</v>
      </c>
      <c r="K23" s="66" t="s">
        <v>574</v>
      </c>
      <c r="L23" s="119" t="s">
        <v>994</v>
      </c>
      <c r="M23" s="64"/>
      <c r="N23" s="28" t="s">
        <v>559</v>
      </c>
      <c r="O23" s="28"/>
      <c r="P23" s="28" t="s">
        <v>560</v>
      </c>
      <c r="Q23" s="28"/>
      <c r="R23" s="28"/>
      <c r="S23" s="28"/>
      <c r="T23" t="s">
        <v>397</v>
      </c>
    </row>
    <row r="24" spans="1:20" ht="23.25" hidden="1" customHeight="1" x14ac:dyDescent="0.25">
      <c r="A24" s="25" t="s">
        <v>602</v>
      </c>
      <c r="B24" s="26" t="s">
        <v>529</v>
      </c>
      <c r="C24" s="26" t="s">
        <v>530</v>
      </c>
      <c r="D24" s="26" t="s">
        <v>479</v>
      </c>
      <c r="E24" s="63" t="s">
        <v>605</v>
      </c>
      <c r="F24" s="26" t="s">
        <v>504</v>
      </c>
      <c r="G24" s="26" t="s">
        <v>68</v>
      </c>
      <c r="H24" s="26" t="s">
        <v>482</v>
      </c>
      <c r="I24" s="26" t="s">
        <v>483</v>
      </c>
      <c r="J24" s="26" t="s">
        <v>484</v>
      </c>
      <c r="K24" s="65">
        <v>45695.509629629632</v>
      </c>
      <c r="L24" s="118">
        <v>45845.583553240744</v>
      </c>
      <c r="M24" s="26"/>
      <c r="N24" s="26" t="s">
        <v>486</v>
      </c>
      <c r="O24" s="26"/>
      <c r="P24" s="26" t="s">
        <v>487</v>
      </c>
      <c r="Q24" s="26"/>
      <c r="R24" s="26" t="s">
        <v>18</v>
      </c>
      <c r="S24" s="26"/>
      <c r="T24" t="s">
        <v>606</v>
      </c>
    </row>
    <row r="25" spans="1:20" ht="23.25" hidden="1" customHeight="1" x14ac:dyDescent="0.25">
      <c r="A25" s="27" t="s">
        <v>739</v>
      </c>
      <c r="B25" s="28" t="s">
        <v>740</v>
      </c>
      <c r="C25" s="28" t="s">
        <v>741</v>
      </c>
      <c r="D25" s="28" t="s">
        <v>479</v>
      </c>
      <c r="E25" s="64" t="s">
        <v>742</v>
      </c>
      <c r="F25" s="28" t="s">
        <v>481</v>
      </c>
      <c r="G25" s="28" t="s">
        <v>68</v>
      </c>
      <c r="H25" s="28" t="s">
        <v>482</v>
      </c>
      <c r="I25" s="28" t="s">
        <v>483</v>
      </c>
      <c r="J25" s="28" t="s">
        <v>484</v>
      </c>
      <c r="K25" s="66">
        <v>45907.455243055556</v>
      </c>
      <c r="L25" s="119" t="s">
        <v>995</v>
      </c>
      <c r="M25" s="28"/>
      <c r="N25" s="28" t="s">
        <v>486</v>
      </c>
      <c r="O25" s="28"/>
      <c r="P25" s="28" t="s">
        <v>515</v>
      </c>
      <c r="Q25" s="28"/>
      <c r="R25" s="28" t="s">
        <v>18</v>
      </c>
      <c r="S25" s="28"/>
      <c r="T25" t="s">
        <v>743</v>
      </c>
    </row>
    <row r="26" spans="1:20" ht="34.5" customHeight="1" x14ac:dyDescent="0.25">
      <c r="A26" s="25" t="s">
        <v>1258</v>
      </c>
      <c r="B26" s="26" t="s">
        <v>1259</v>
      </c>
      <c r="C26" s="26" t="s">
        <v>1260</v>
      </c>
      <c r="D26" s="26" t="s">
        <v>479</v>
      </c>
      <c r="E26" s="293" t="s">
        <v>1261</v>
      </c>
      <c r="F26" s="26" t="s">
        <v>481</v>
      </c>
      <c r="G26" s="26" t="s">
        <v>1010</v>
      </c>
      <c r="H26" s="26" t="s">
        <v>1232</v>
      </c>
      <c r="I26" s="26" t="s">
        <v>1242</v>
      </c>
      <c r="J26" s="26" t="s">
        <v>285</v>
      </c>
      <c r="K26" s="65" t="s">
        <v>1262</v>
      </c>
      <c r="L26" s="272" t="s">
        <v>1263</v>
      </c>
      <c r="M26" s="26"/>
      <c r="N26" s="26" t="s">
        <v>486</v>
      </c>
      <c r="O26" s="26"/>
      <c r="P26" s="26"/>
      <c r="Q26" s="26"/>
      <c r="R26" s="26"/>
      <c r="S26" s="26"/>
      <c r="T26" t="s">
        <v>1264</v>
      </c>
    </row>
    <row r="27" spans="1:20" ht="36.75" hidden="1" customHeight="1" x14ac:dyDescent="0.25">
      <c r="A27" s="27" t="s">
        <v>996</v>
      </c>
      <c r="B27" s="28" t="s">
        <v>557</v>
      </c>
      <c r="C27" s="28" t="s">
        <v>344</v>
      </c>
      <c r="D27" s="28" t="s">
        <v>479</v>
      </c>
      <c r="E27" s="64" t="s">
        <v>997</v>
      </c>
      <c r="F27" s="28" t="s">
        <v>521</v>
      </c>
      <c r="G27" s="28" t="s">
        <v>68</v>
      </c>
      <c r="H27" s="28" t="s">
        <v>482</v>
      </c>
      <c r="I27" s="28" t="s">
        <v>483</v>
      </c>
      <c r="J27" s="28" t="s">
        <v>484</v>
      </c>
      <c r="K27" s="66" t="s">
        <v>998</v>
      </c>
      <c r="L27" s="271" t="s">
        <v>1018</v>
      </c>
      <c r="M27" s="64"/>
      <c r="N27" s="28" t="s">
        <v>486</v>
      </c>
      <c r="O27" s="28"/>
      <c r="P27" s="28" t="s">
        <v>506</v>
      </c>
      <c r="Q27" s="28"/>
      <c r="R27" s="28" t="s">
        <v>18</v>
      </c>
      <c r="S27" s="28"/>
      <c r="T27" t="s">
        <v>999</v>
      </c>
    </row>
    <row r="28" spans="1:20" ht="35.25" hidden="1" customHeight="1" x14ac:dyDescent="0.25">
      <c r="A28" s="25" t="s">
        <v>1008</v>
      </c>
      <c r="B28" s="26" t="s">
        <v>533</v>
      </c>
      <c r="C28" s="26" t="s">
        <v>534</v>
      </c>
      <c r="D28" s="26" t="s">
        <v>479</v>
      </c>
      <c r="E28" s="63" t="s">
        <v>1009</v>
      </c>
      <c r="F28" s="26" t="s">
        <v>481</v>
      </c>
      <c r="G28" s="26" t="s">
        <v>68</v>
      </c>
      <c r="H28" s="26" t="s">
        <v>482</v>
      </c>
      <c r="I28" s="26" t="s">
        <v>483</v>
      </c>
      <c r="J28" s="26" t="s">
        <v>484</v>
      </c>
      <c r="K28" s="65" t="s">
        <v>1011</v>
      </c>
      <c r="L28" s="272">
        <v>45755.630891203706</v>
      </c>
      <c r="M28" s="63"/>
      <c r="N28" s="26" t="s">
        <v>486</v>
      </c>
      <c r="O28" s="26"/>
      <c r="P28" s="26" t="s">
        <v>487</v>
      </c>
      <c r="Q28" s="26"/>
      <c r="R28" s="26" t="s">
        <v>18</v>
      </c>
      <c r="S28" s="26"/>
      <c r="T28" t="s">
        <v>1012</v>
      </c>
    </row>
    <row r="29" spans="1:20" ht="37.5" hidden="1" customHeight="1" x14ac:dyDescent="0.25">
      <c r="A29" s="27" t="s">
        <v>1032</v>
      </c>
      <c r="B29" s="28" t="s">
        <v>1033</v>
      </c>
      <c r="C29" s="28" t="s">
        <v>1034</v>
      </c>
      <c r="D29" s="28" t="s">
        <v>479</v>
      </c>
      <c r="E29" s="64" t="s">
        <v>1035</v>
      </c>
      <c r="F29" s="28" t="s">
        <v>521</v>
      </c>
      <c r="G29" s="28" t="s">
        <v>1060</v>
      </c>
      <c r="H29" s="28" t="s">
        <v>482</v>
      </c>
      <c r="I29" s="28" t="s">
        <v>483</v>
      </c>
      <c r="J29" s="28" t="s">
        <v>484</v>
      </c>
      <c r="K29" s="66" t="s">
        <v>1036</v>
      </c>
      <c r="L29" s="271">
        <v>45786.415393518517</v>
      </c>
      <c r="M29" s="64" t="s">
        <v>1219</v>
      </c>
      <c r="N29" s="28" t="s">
        <v>549</v>
      </c>
      <c r="O29" s="28" t="s">
        <v>1061</v>
      </c>
      <c r="P29" s="28" t="s">
        <v>515</v>
      </c>
      <c r="Q29" s="28" t="s">
        <v>515</v>
      </c>
      <c r="R29" s="28" t="s">
        <v>18</v>
      </c>
      <c r="S29" s="28" t="s">
        <v>18</v>
      </c>
      <c r="T29" t="s">
        <v>1037</v>
      </c>
    </row>
    <row r="30" spans="1:20" ht="267.75" hidden="1" x14ac:dyDescent="0.25">
      <c r="A30" s="25" t="s">
        <v>1038</v>
      </c>
      <c r="B30" s="26" t="s">
        <v>533</v>
      </c>
      <c r="C30" s="26" t="s">
        <v>534</v>
      </c>
      <c r="D30" s="26" t="s">
        <v>479</v>
      </c>
      <c r="E30" s="63" t="s">
        <v>1039</v>
      </c>
      <c r="F30" s="26" t="s">
        <v>481</v>
      </c>
      <c r="G30" s="26" t="s">
        <v>1060</v>
      </c>
      <c r="H30" s="26" t="s">
        <v>482</v>
      </c>
      <c r="I30" s="26" t="s">
        <v>483</v>
      </c>
      <c r="J30" s="26" t="s">
        <v>484</v>
      </c>
      <c r="K30" s="65" t="s">
        <v>1040</v>
      </c>
      <c r="L30" s="272">
        <v>45939.48846064815</v>
      </c>
      <c r="M30" s="63" t="s">
        <v>1272</v>
      </c>
      <c r="N30" s="26" t="s">
        <v>486</v>
      </c>
      <c r="O30" s="26" t="s">
        <v>1061</v>
      </c>
      <c r="P30" s="26" t="s">
        <v>487</v>
      </c>
      <c r="Q30" s="26" t="s">
        <v>487</v>
      </c>
      <c r="R30" s="26" t="s">
        <v>18</v>
      </c>
      <c r="S30" s="26" t="s">
        <v>18</v>
      </c>
      <c r="T30" t="s">
        <v>1041</v>
      </c>
    </row>
    <row r="31" spans="1:20" ht="114.75" hidden="1" x14ac:dyDescent="0.25">
      <c r="A31" s="27" t="s">
        <v>1062</v>
      </c>
      <c r="B31" s="28" t="s">
        <v>544</v>
      </c>
      <c r="C31" s="28" t="s">
        <v>545</v>
      </c>
      <c r="D31" s="28" t="s">
        <v>479</v>
      </c>
      <c r="E31" s="64" t="s">
        <v>1063</v>
      </c>
      <c r="F31" s="28" t="s">
        <v>481</v>
      </c>
      <c r="G31" s="28" t="s">
        <v>1060</v>
      </c>
      <c r="H31" s="28" t="s">
        <v>482</v>
      </c>
      <c r="I31" s="28" t="s">
        <v>483</v>
      </c>
      <c r="J31" s="28" t="s">
        <v>484</v>
      </c>
      <c r="K31" s="66">
        <v>45755.522673611114</v>
      </c>
      <c r="L31" s="271">
        <v>45786.41909722222</v>
      </c>
      <c r="M31" s="64" t="s">
        <v>1220</v>
      </c>
      <c r="N31" s="28" t="s">
        <v>486</v>
      </c>
      <c r="O31" s="28" t="s">
        <v>1061</v>
      </c>
      <c r="P31" s="28" t="s">
        <v>207</v>
      </c>
      <c r="Q31" s="28" t="s">
        <v>207</v>
      </c>
      <c r="R31" s="28" t="s">
        <v>18</v>
      </c>
      <c r="S31" s="28" t="s">
        <v>18</v>
      </c>
      <c r="T31" t="s">
        <v>1064</v>
      </c>
    </row>
    <row r="32" spans="1:20" ht="165.75" hidden="1" x14ac:dyDescent="0.25">
      <c r="A32" s="25" t="s">
        <v>1136</v>
      </c>
      <c r="B32" s="26" t="s">
        <v>1137</v>
      </c>
      <c r="C32" s="26" t="s">
        <v>1138</v>
      </c>
      <c r="D32" s="26" t="s">
        <v>479</v>
      </c>
      <c r="E32" s="63" t="s">
        <v>1139</v>
      </c>
      <c r="F32" s="26" t="s">
        <v>521</v>
      </c>
      <c r="G32" s="26" t="s">
        <v>1060</v>
      </c>
      <c r="H32" s="26" t="s">
        <v>482</v>
      </c>
      <c r="I32" s="26" t="s">
        <v>483</v>
      </c>
      <c r="J32" s="26" t="s">
        <v>484</v>
      </c>
      <c r="K32" s="65">
        <v>45877.403749999998</v>
      </c>
      <c r="L32" s="272">
        <v>45878.561296296299</v>
      </c>
      <c r="M32" s="63" t="s">
        <v>1221</v>
      </c>
      <c r="N32" s="26" t="s">
        <v>549</v>
      </c>
      <c r="O32" s="26" t="s">
        <v>1061</v>
      </c>
      <c r="P32" s="26" t="s">
        <v>207</v>
      </c>
      <c r="Q32" s="26" t="s">
        <v>207</v>
      </c>
      <c r="R32" s="26" t="s">
        <v>18</v>
      </c>
      <c r="S32" s="26" t="s">
        <v>18</v>
      </c>
      <c r="T32" t="s">
        <v>1140</v>
      </c>
    </row>
    <row r="33" spans="1:20" ht="63.75" hidden="1" x14ac:dyDescent="0.25">
      <c r="A33" s="27" t="s">
        <v>1143</v>
      </c>
      <c r="B33" s="28" t="s">
        <v>511</v>
      </c>
      <c r="C33" s="28" t="s">
        <v>512</v>
      </c>
      <c r="D33" s="28" t="s">
        <v>479</v>
      </c>
      <c r="E33" s="64" t="s">
        <v>1144</v>
      </c>
      <c r="F33" s="28" t="s">
        <v>481</v>
      </c>
      <c r="G33" s="28" t="s">
        <v>68</v>
      </c>
      <c r="H33" s="28" t="s">
        <v>482</v>
      </c>
      <c r="I33" s="28" t="s">
        <v>483</v>
      </c>
      <c r="J33" s="28" t="s">
        <v>484</v>
      </c>
      <c r="K33" s="66" t="s">
        <v>1145</v>
      </c>
      <c r="L33" s="271" t="s">
        <v>1155</v>
      </c>
      <c r="M33" s="64"/>
      <c r="N33" s="28" t="s">
        <v>486</v>
      </c>
      <c r="O33" s="28"/>
      <c r="P33" s="28" t="s">
        <v>487</v>
      </c>
      <c r="Q33" s="28"/>
      <c r="R33" s="28" t="s">
        <v>18</v>
      </c>
      <c r="S33" s="28"/>
      <c r="T33" t="s">
        <v>1146</v>
      </c>
    </row>
    <row r="34" spans="1:20" ht="63.75" hidden="1" x14ac:dyDescent="0.25">
      <c r="A34" s="25" t="s">
        <v>1156</v>
      </c>
      <c r="B34" s="26" t="s">
        <v>477</v>
      </c>
      <c r="C34" s="26" t="s">
        <v>478</v>
      </c>
      <c r="D34" s="26" t="s">
        <v>479</v>
      </c>
      <c r="E34" s="63" t="s">
        <v>1157</v>
      </c>
      <c r="F34" s="26" t="s">
        <v>481</v>
      </c>
      <c r="G34" s="26" t="s">
        <v>68</v>
      </c>
      <c r="H34" s="26" t="s">
        <v>482</v>
      </c>
      <c r="I34" s="26" t="s">
        <v>483</v>
      </c>
      <c r="J34" s="26" t="s">
        <v>484</v>
      </c>
      <c r="K34" s="65" t="s">
        <v>1158</v>
      </c>
      <c r="L34" s="272">
        <v>45697.733298611114</v>
      </c>
      <c r="M34" s="63"/>
      <c r="N34" s="26" t="s">
        <v>486</v>
      </c>
      <c r="O34" s="26"/>
      <c r="P34" s="26" t="s">
        <v>487</v>
      </c>
      <c r="Q34" s="26"/>
      <c r="R34" s="26" t="s">
        <v>18</v>
      </c>
      <c r="S34" s="26"/>
      <c r="T34" t="s">
        <v>1159</v>
      </c>
    </row>
    <row r="35" spans="1:20" ht="63.75" hidden="1" x14ac:dyDescent="0.25">
      <c r="A35" s="27" t="s">
        <v>1200</v>
      </c>
      <c r="B35" s="28" t="s">
        <v>1201</v>
      </c>
      <c r="C35" s="28" t="s">
        <v>1202</v>
      </c>
      <c r="D35" s="28" t="s">
        <v>479</v>
      </c>
      <c r="E35" s="64" t="s">
        <v>1203</v>
      </c>
      <c r="F35" s="28" t="s">
        <v>481</v>
      </c>
      <c r="G35" s="28" t="s">
        <v>68</v>
      </c>
      <c r="H35" s="28" t="s">
        <v>482</v>
      </c>
      <c r="I35" s="28" t="s">
        <v>483</v>
      </c>
      <c r="J35" s="28" t="s">
        <v>484</v>
      </c>
      <c r="K35" s="66">
        <v>45697.51835648148</v>
      </c>
      <c r="L35" s="271">
        <v>45909.584456018521</v>
      </c>
      <c r="M35" s="28"/>
      <c r="N35" s="28" t="s">
        <v>486</v>
      </c>
      <c r="O35" s="28"/>
      <c r="P35" s="28" t="s">
        <v>487</v>
      </c>
      <c r="Q35" s="28"/>
      <c r="R35" s="28" t="s">
        <v>18</v>
      </c>
      <c r="S35" s="28"/>
      <c r="T35" t="s">
        <v>1204</v>
      </c>
    </row>
    <row r="36" spans="1:20" ht="267.75" hidden="1" x14ac:dyDescent="0.25">
      <c r="A36" s="25" t="s">
        <v>1205</v>
      </c>
      <c r="B36" s="26" t="s">
        <v>533</v>
      </c>
      <c r="C36" s="26" t="s">
        <v>534</v>
      </c>
      <c r="D36" s="26" t="s">
        <v>479</v>
      </c>
      <c r="E36" s="63" t="s">
        <v>1206</v>
      </c>
      <c r="F36" s="26" t="s">
        <v>481</v>
      </c>
      <c r="G36" s="26" t="s">
        <v>1060</v>
      </c>
      <c r="H36" s="26" t="s">
        <v>482</v>
      </c>
      <c r="I36" s="26" t="s">
        <v>483</v>
      </c>
      <c r="J36" s="26" t="s">
        <v>484</v>
      </c>
      <c r="K36" s="65">
        <v>45697.66238425926</v>
      </c>
      <c r="L36" s="272">
        <v>45939.492754629631</v>
      </c>
      <c r="M36" s="63" t="s">
        <v>1272</v>
      </c>
      <c r="N36" s="26" t="s">
        <v>486</v>
      </c>
      <c r="O36" s="26" t="s">
        <v>1061</v>
      </c>
      <c r="P36" s="26" t="s">
        <v>487</v>
      </c>
      <c r="Q36" s="26" t="s">
        <v>487</v>
      </c>
      <c r="R36" s="26" t="s">
        <v>18</v>
      </c>
      <c r="S36" s="26" t="s">
        <v>18</v>
      </c>
      <c r="T36" t="s">
        <v>1207</v>
      </c>
    </row>
    <row r="37" spans="1:20" ht="267.75" hidden="1" x14ac:dyDescent="0.25">
      <c r="A37" s="137" t="s">
        <v>1208</v>
      </c>
      <c r="B37" s="26" t="s">
        <v>1209</v>
      </c>
      <c r="C37" s="26" t="s">
        <v>1210</v>
      </c>
      <c r="D37" s="26" t="s">
        <v>479</v>
      </c>
      <c r="E37" s="63" t="s">
        <v>1211</v>
      </c>
      <c r="F37" s="26" t="s">
        <v>481</v>
      </c>
      <c r="G37" s="26" t="s">
        <v>1060</v>
      </c>
      <c r="H37" s="26" t="s">
        <v>1232</v>
      </c>
      <c r="I37" s="26" t="s">
        <v>483</v>
      </c>
      <c r="J37" s="26" t="s">
        <v>484</v>
      </c>
      <c r="K37" s="65">
        <v>45725.706226851849</v>
      </c>
      <c r="L37" s="138">
        <v>45939.493969907409</v>
      </c>
      <c r="M37" s="63" t="s">
        <v>1272</v>
      </c>
      <c r="N37" s="26" t="s">
        <v>486</v>
      </c>
      <c r="O37" s="26" t="s">
        <v>1061</v>
      </c>
      <c r="P37" s="26" t="s">
        <v>515</v>
      </c>
      <c r="Q37" s="26" t="s">
        <v>515</v>
      </c>
      <c r="R37" s="26" t="s">
        <v>18</v>
      </c>
      <c r="S37" s="26" t="s">
        <v>18</v>
      </c>
      <c r="T37" t="s">
        <v>1212</v>
      </c>
    </row>
    <row r="38" spans="1:20" ht="76.5" hidden="1" x14ac:dyDescent="0.25">
      <c r="A38" s="137" t="s">
        <v>1222</v>
      </c>
      <c r="B38" s="26" t="s">
        <v>533</v>
      </c>
      <c r="C38" s="26" t="s">
        <v>534</v>
      </c>
      <c r="D38" s="26" t="s">
        <v>479</v>
      </c>
      <c r="E38" s="63" t="s">
        <v>1223</v>
      </c>
      <c r="F38" s="26" t="s">
        <v>521</v>
      </c>
      <c r="G38" s="26" t="s">
        <v>1010</v>
      </c>
      <c r="H38" s="26" t="s">
        <v>482</v>
      </c>
      <c r="I38" s="26" t="s">
        <v>483</v>
      </c>
      <c r="J38" s="26" t="s">
        <v>484</v>
      </c>
      <c r="K38" s="65">
        <v>45878.529143518521</v>
      </c>
      <c r="L38" s="138">
        <v>45939.334374999999</v>
      </c>
      <c r="M38" s="26"/>
      <c r="N38" s="26" t="s">
        <v>549</v>
      </c>
      <c r="O38" s="26"/>
      <c r="P38" s="26"/>
      <c r="Q38" s="26"/>
      <c r="R38" s="26"/>
      <c r="S38" s="26"/>
      <c r="T38" t="s">
        <v>1224</v>
      </c>
    </row>
    <row r="39" spans="1:20" ht="63.75" hidden="1" x14ac:dyDescent="0.25">
      <c r="A39" s="137" t="s">
        <v>1225</v>
      </c>
      <c r="B39" s="26" t="s">
        <v>1226</v>
      </c>
      <c r="C39" s="26" t="s">
        <v>1227</v>
      </c>
      <c r="D39" s="26" t="s">
        <v>479</v>
      </c>
      <c r="E39" s="63" t="s">
        <v>1228</v>
      </c>
      <c r="F39" s="26" t="s">
        <v>521</v>
      </c>
      <c r="G39" s="26" t="s">
        <v>1010</v>
      </c>
      <c r="H39" s="26" t="s">
        <v>482</v>
      </c>
      <c r="I39" s="26" t="s">
        <v>483</v>
      </c>
      <c r="J39" s="26" t="s">
        <v>484</v>
      </c>
      <c r="K39" s="65">
        <v>45878.504803240743</v>
      </c>
      <c r="L39" s="138">
        <v>45939.521203703705</v>
      </c>
      <c r="M39" s="26"/>
      <c r="N39" s="26" t="s">
        <v>549</v>
      </c>
      <c r="O39" s="26"/>
      <c r="P39" s="26"/>
      <c r="Q39" s="26"/>
      <c r="R39" s="26"/>
      <c r="S39" s="26"/>
      <c r="T39" t="s">
        <v>1229</v>
      </c>
    </row>
    <row r="40" spans="1:20" ht="267.75" hidden="1" x14ac:dyDescent="0.25">
      <c r="A40" s="137" t="s">
        <v>1230</v>
      </c>
      <c r="B40" s="26" t="s">
        <v>533</v>
      </c>
      <c r="C40" s="26" t="s">
        <v>534</v>
      </c>
      <c r="D40" s="26" t="s">
        <v>479</v>
      </c>
      <c r="E40" s="63" t="s">
        <v>1231</v>
      </c>
      <c r="F40" s="26" t="s">
        <v>481</v>
      </c>
      <c r="G40" s="26" t="s">
        <v>1060</v>
      </c>
      <c r="H40" s="26" t="s">
        <v>1232</v>
      </c>
      <c r="I40" s="26" t="s">
        <v>483</v>
      </c>
      <c r="J40" s="26" t="s">
        <v>484</v>
      </c>
      <c r="K40" s="65">
        <v>45878.651446759257</v>
      </c>
      <c r="L40" s="138">
        <v>45939.495925925927</v>
      </c>
      <c r="M40" s="63" t="s">
        <v>1272</v>
      </c>
      <c r="N40" s="26" t="s">
        <v>486</v>
      </c>
      <c r="O40" s="26" t="s">
        <v>1061</v>
      </c>
      <c r="P40" s="26" t="s">
        <v>487</v>
      </c>
      <c r="Q40" s="26" t="s">
        <v>487</v>
      </c>
      <c r="R40" s="26" t="s">
        <v>18</v>
      </c>
      <c r="S40" s="26" t="s">
        <v>18</v>
      </c>
      <c r="T40" t="s">
        <v>1233</v>
      </c>
    </row>
    <row r="41" spans="1:20" ht="102" hidden="1" x14ac:dyDescent="0.25">
      <c r="A41" s="137" t="s">
        <v>1234</v>
      </c>
      <c r="B41" s="26" t="s">
        <v>1235</v>
      </c>
      <c r="C41" s="26" t="s">
        <v>1236</v>
      </c>
      <c r="D41" s="26" t="s">
        <v>479</v>
      </c>
      <c r="E41" s="63" t="s">
        <v>1237</v>
      </c>
      <c r="F41" s="26" t="s">
        <v>481</v>
      </c>
      <c r="G41" s="26" t="s">
        <v>1010</v>
      </c>
      <c r="H41" s="26" t="s">
        <v>1232</v>
      </c>
      <c r="I41" s="26" t="s">
        <v>483</v>
      </c>
      <c r="J41" s="26" t="s">
        <v>484</v>
      </c>
      <c r="K41" s="65">
        <v>45878.641782407409</v>
      </c>
      <c r="L41" s="138">
        <v>45878.641817129632</v>
      </c>
      <c r="M41" s="26"/>
      <c r="N41" s="26" t="s">
        <v>486</v>
      </c>
      <c r="O41" s="26"/>
      <c r="P41" s="26"/>
      <c r="Q41" s="26"/>
      <c r="R41" s="26"/>
      <c r="S41" s="26"/>
      <c r="T41" t="s">
        <v>1238</v>
      </c>
    </row>
    <row r="42" spans="1:20" hidden="1" x14ac:dyDescent="0.25">
      <c r="A42" s="137"/>
      <c r="B42" s="26"/>
      <c r="C42" s="26"/>
      <c r="D42" s="26"/>
      <c r="E42" s="26"/>
      <c r="F42" s="26"/>
      <c r="G42" s="26"/>
      <c r="H42" s="26"/>
      <c r="I42" s="26"/>
      <c r="J42" s="26"/>
      <c r="K42" s="26"/>
      <c r="L42" s="138"/>
      <c r="M42" s="26"/>
      <c r="N42" s="26"/>
      <c r="O42" s="26"/>
      <c r="P42" s="26"/>
      <c r="Q42" s="26"/>
      <c r="R42" s="26"/>
      <c r="S42" s="26"/>
    </row>
    <row r="43" spans="1:20" hidden="1" x14ac:dyDescent="0.25">
      <c r="A43" s="137" t="s">
        <v>1273</v>
      </c>
      <c r="B43" s="26"/>
      <c r="C43" s="26"/>
      <c r="D43" s="26"/>
      <c r="E43" s="26"/>
      <c r="F43" s="26"/>
      <c r="G43" s="26"/>
      <c r="H43" s="26"/>
      <c r="I43" s="26"/>
      <c r="J43" s="26"/>
      <c r="K43" s="26"/>
      <c r="L43" s="138"/>
      <c r="M43" s="26"/>
      <c r="N43" s="26"/>
      <c r="O43" s="26"/>
      <c r="P43" s="26"/>
      <c r="Q43" s="26"/>
      <c r="R43" s="26"/>
      <c r="S43" s="26"/>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43E-1D17-4144-B76B-910DE1B330D4}">
  <sheetPr codeName="Hoja9"/>
  <dimension ref="B2:K51"/>
  <sheetViews>
    <sheetView topLeftCell="A22" workbookViewId="0">
      <selection activeCell="C55" sqref="C55"/>
    </sheetView>
  </sheetViews>
  <sheetFormatPr baseColWidth="10" defaultRowHeight="15" x14ac:dyDescent="0.25"/>
  <cols>
    <col min="2" max="2" width="16.28515625" bestFit="1" customWidth="1"/>
    <col min="3" max="3" width="58.28515625" bestFit="1" customWidth="1"/>
    <col min="4" max="4" width="81.140625" bestFit="1" customWidth="1"/>
    <col min="5" max="10" width="16" bestFit="1" customWidth="1"/>
    <col min="11" max="11" width="16" customWidth="1"/>
  </cols>
  <sheetData>
    <row r="2" spans="2:11" x14ac:dyDescent="0.25">
      <c r="B2" t="s">
        <v>33</v>
      </c>
      <c r="C2" t="s">
        <v>601</v>
      </c>
      <c r="D2" t="s">
        <v>37</v>
      </c>
      <c r="E2" t="s">
        <v>608</v>
      </c>
      <c r="F2" t="s">
        <v>609</v>
      </c>
      <c r="G2" t="s">
        <v>610</v>
      </c>
      <c r="H2" t="s">
        <v>611</v>
      </c>
      <c r="I2" t="s">
        <v>612</v>
      </c>
      <c r="J2" t="s">
        <v>613</v>
      </c>
      <c r="K2" t="s">
        <v>614</v>
      </c>
    </row>
    <row r="3" spans="2:11" x14ac:dyDescent="0.25">
      <c r="B3" t="s">
        <v>110</v>
      </c>
      <c r="C3" t="s">
        <v>111</v>
      </c>
      <c r="E3">
        <v>865</v>
      </c>
    </row>
    <row r="4" spans="2:11" x14ac:dyDescent="0.25">
      <c r="B4" t="s">
        <v>132</v>
      </c>
      <c r="C4" t="s">
        <v>133</v>
      </c>
      <c r="E4">
        <v>912</v>
      </c>
    </row>
    <row r="5" spans="2:11" x14ac:dyDescent="0.25">
      <c r="B5" t="s">
        <v>190</v>
      </c>
      <c r="C5" t="s">
        <v>191</v>
      </c>
      <c r="D5">
        <v>0</v>
      </c>
      <c r="E5">
        <v>892</v>
      </c>
    </row>
    <row r="6" spans="2:11" x14ac:dyDescent="0.25">
      <c r="B6" t="s">
        <v>250</v>
      </c>
      <c r="C6" t="s">
        <v>251</v>
      </c>
      <c r="E6">
        <v>907</v>
      </c>
      <c r="F6">
        <v>873</v>
      </c>
    </row>
    <row r="7" spans="2:11" x14ac:dyDescent="0.25">
      <c r="B7" t="s">
        <v>255</v>
      </c>
      <c r="C7" t="s">
        <v>256</v>
      </c>
      <c r="D7" t="s">
        <v>257</v>
      </c>
      <c r="E7">
        <v>889</v>
      </c>
      <c r="F7">
        <v>917</v>
      </c>
    </row>
    <row r="8" spans="2:11" x14ac:dyDescent="0.25">
      <c r="B8" t="s">
        <v>260</v>
      </c>
      <c r="C8" t="s">
        <v>261</v>
      </c>
      <c r="E8">
        <v>674</v>
      </c>
    </row>
    <row r="9" spans="2:11" x14ac:dyDescent="0.25">
      <c r="B9" t="s">
        <v>270</v>
      </c>
      <c r="C9" t="s">
        <v>271</v>
      </c>
      <c r="D9" t="s">
        <v>58</v>
      </c>
      <c r="E9">
        <v>915</v>
      </c>
    </row>
    <row r="10" spans="2:11" x14ac:dyDescent="0.25">
      <c r="B10" t="s">
        <v>280</v>
      </c>
      <c r="C10" t="s">
        <v>281</v>
      </c>
      <c r="E10">
        <v>855</v>
      </c>
      <c r="F10">
        <v>903</v>
      </c>
    </row>
    <row r="11" spans="2:11" x14ac:dyDescent="0.25">
      <c r="B11" t="s">
        <v>295</v>
      </c>
      <c r="C11" t="s">
        <v>296</v>
      </c>
      <c r="D11" t="s">
        <v>62</v>
      </c>
      <c r="E11">
        <v>860</v>
      </c>
      <c r="F11">
        <v>879</v>
      </c>
      <c r="G11">
        <v>880</v>
      </c>
      <c r="H11">
        <v>887</v>
      </c>
    </row>
    <row r="12" spans="2:11" x14ac:dyDescent="0.25">
      <c r="B12" t="s">
        <v>314</v>
      </c>
      <c r="C12" t="s">
        <v>315</v>
      </c>
      <c r="E12">
        <v>916</v>
      </c>
    </row>
    <row r="13" spans="2:11" x14ac:dyDescent="0.25">
      <c r="B13" t="s">
        <v>323</v>
      </c>
      <c r="C13" t="s">
        <v>324</v>
      </c>
      <c r="D13" t="s">
        <v>0</v>
      </c>
      <c r="E13">
        <v>947</v>
      </c>
      <c r="F13">
        <v>847</v>
      </c>
      <c r="G13">
        <v>848</v>
      </c>
      <c r="H13">
        <v>849</v>
      </c>
      <c r="I13">
        <v>862</v>
      </c>
      <c r="J13">
        <v>866</v>
      </c>
      <c r="K13">
        <v>878</v>
      </c>
    </row>
    <row r="14" spans="2:11" x14ac:dyDescent="0.25">
      <c r="B14" t="s">
        <v>328</v>
      </c>
      <c r="C14" t="s">
        <v>329</v>
      </c>
      <c r="D14" t="s">
        <v>227</v>
      </c>
      <c r="E14">
        <v>895</v>
      </c>
    </row>
    <row r="15" spans="2:11" x14ac:dyDescent="0.25">
      <c r="B15" t="s">
        <v>332</v>
      </c>
      <c r="C15" t="s">
        <v>333</v>
      </c>
      <c r="D15" t="s">
        <v>334</v>
      </c>
      <c r="E15">
        <v>839</v>
      </c>
    </row>
    <row r="16" spans="2:11" x14ac:dyDescent="0.25">
      <c r="B16" t="s">
        <v>382</v>
      </c>
      <c r="C16" t="s">
        <v>383</v>
      </c>
      <c r="E16">
        <v>942</v>
      </c>
      <c r="F16">
        <v>944</v>
      </c>
    </row>
    <row r="17" spans="2:5" x14ac:dyDescent="0.25">
      <c r="B17" t="s">
        <v>395</v>
      </c>
      <c r="C17" t="s">
        <v>396</v>
      </c>
      <c r="E17">
        <v>674</v>
      </c>
    </row>
    <row r="23" spans="2:5" x14ac:dyDescent="0.25">
      <c r="B23" s="89" t="s">
        <v>33</v>
      </c>
      <c r="C23" s="89" t="s">
        <v>601</v>
      </c>
      <c r="D23" s="89" t="s">
        <v>37</v>
      </c>
      <c r="E23" s="90" t="s">
        <v>615</v>
      </c>
    </row>
    <row r="24" spans="2:5" x14ac:dyDescent="0.25">
      <c r="B24" s="95" t="s">
        <v>270</v>
      </c>
      <c r="C24" s="95" t="s">
        <v>271</v>
      </c>
      <c r="D24" s="95" t="s">
        <v>58</v>
      </c>
      <c r="E24" s="96">
        <v>915</v>
      </c>
    </row>
    <row r="25" spans="2:5" x14ac:dyDescent="0.25">
      <c r="B25" s="97" t="s">
        <v>280</v>
      </c>
      <c r="C25" s="97" t="s">
        <v>281</v>
      </c>
      <c r="D25" s="97" t="s">
        <v>62</v>
      </c>
      <c r="E25" s="98">
        <v>855</v>
      </c>
    </row>
    <row r="26" spans="2:5" x14ac:dyDescent="0.25">
      <c r="B26" s="97" t="s">
        <v>280</v>
      </c>
      <c r="C26" s="97" t="s">
        <v>281</v>
      </c>
      <c r="D26" s="97" t="s">
        <v>62</v>
      </c>
      <c r="E26" s="98">
        <v>903</v>
      </c>
    </row>
    <row r="27" spans="2:5" x14ac:dyDescent="0.25">
      <c r="B27" s="95" t="s">
        <v>395</v>
      </c>
      <c r="C27" s="95" t="s">
        <v>396</v>
      </c>
      <c r="D27" s="95" t="s">
        <v>62</v>
      </c>
      <c r="E27" s="96">
        <v>674</v>
      </c>
    </row>
    <row r="28" spans="2:5" x14ac:dyDescent="0.25">
      <c r="B28" s="97" t="s">
        <v>260</v>
      </c>
      <c r="C28" s="97" t="s">
        <v>261</v>
      </c>
      <c r="D28" s="97" t="s">
        <v>62</v>
      </c>
      <c r="E28" s="98">
        <v>674</v>
      </c>
    </row>
    <row r="29" spans="2:5" x14ac:dyDescent="0.25">
      <c r="B29" s="95" t="s">
        <v>190</v>
      </c>
      <c r="C29" s="95" t="s">
        <v>191</v>
      </c>
      <c r="D29" s="95"/>
      <c r="E29" s="96">
        <v>892</v>
      </c>
    </row>
    <row r="30" spans="2:5" x14ac:dyDescent="0.25">
      <c r="B30" s="97" t="s">
        <v>314</v>
      </c>
      <c r="C30" s="97" t="s">
        <v>315</v>
      </c>
      <c r="D30" s="97" t="s">
        <v>62</v>
      </c>
      <c r="E30" s="98">
        <v>916</v>
      </c>
    </row>
    <row r="31" spans="2:5" x14ac:dyDescent="0.25">
      <c r="B31" s="95" t="s">
        <v>110</v>
      </c>
      <c r="C31" s="95" t="s">
        <v>111</v>
      </c>
      <c r="D31" s="95" t="s">
        <v>62</v>
      </c>
      <c r="E31" s="96">
        <v>865</v>
      </c>
    </row>
    <row r="32" spans="2:5" x14ac:dyDescent="0.25">
      <c r="B32" s="97" t="s">
        <v>328</v>
      </c>
      <c r="C32" s="97" t="s">
        <v>329</v>
      </c>
      <c r="D32" s="97" t="s">
        <v>227</v>
      </c>
      <c r="E32" s="98">
        <v>895</v>
      </c>
    </row>
    <row r="33" spans="2:5" x14ac:dyDescent="0.25">
      <c r="B33" s="95" t="s">
        <v>255</v>
      </c>
      <c r="C33" s="95" t="s">
        <v>256</v>
      </c>
      <c r="D33" s="95" t="s">
        <v>257</v>
      </c>
      <c r="E33" s="96">
        <v>889</v>
      </c>
    </row>
    <row r="34" spans="2:5" x14ac:dyDescent="0.25">
      <c r="B34" s="95" t="s">
        <v>255</v>
      </c>
      <c r="C34" s="95" t="s">
        <v>256</v>
      </c>
      <c r="D34" s="95" t="s">
        <v>257</v>
      </c>
      <c r="E34" s="96">
        <v>917</v>
      </c>
    </row>
    <row r="35" spans="2:5" x14ac:dyDescent="0.25">
      <c r="B35" s="95" t="s">
        <v>323</v>
      </c>
      <c r="C35" s="95" t="s">
        <v>324</v>
      </c>
      <c r="D35" s="95" t="s">
        <v>0</v>
      </c>
      <c r="E35" s="96">
        <v>947</v>
      </c>
    </row>
    <row r="36" spans="2:5" x14ac:dyDescent="0.25">
      <c r="B36" s="97" t="s">
        <v>323</v>
      </c>
      <c r="C36" s="97" t="s">
        <v>324</v>
      </c>
      <c r="D36" s="97" t="s">
        <v>0</v>
      </c>
      <c r="E36" s="98">
        <v>847</v>
      </c>
    </row>
    <row r="37" spans="2:5" x14ac:dyDescent="0.25">
      <c r="B37" s="95" t="s">
        <v>323</v>
      </c>
      <c r="C37" s="95" t="s">
        <v>324</v>
      </c>
      <c r="D37" s="95" t="s">
        <v>0</v>
      </c>
      <c r="E37" s="96">
        <v>848</v>
      </c>
    </row>
    <row r="38" spans="2:5" x14ac:dyDescent="0.25">
      <c r="B38" s="95" t="s">
        <v>323</v>
      </c>
      <c r="C38" s="95" t="s">
        <v>324</v>
      </c>
      <c r="D38" s="95" t="s">
        <v>0</v>
      </c>
      <c r="E38" s="96">
        <v>849</v>
      </c>
    </row>
    <row r="39" spans="2:5" x14ac:dyDescent="0.25">
      <c r="B39" s="97" t="s">
        <v>323</v>
      </c>
      <c r="C39" s="97" t="s">
        <v>324</v>
      </c>
      <c r="D39" s="97" t="s">
        <v>0</v>
      </c>
      <c r="E39" s="98">
        <v>862</v>
      </c>
    </row>
    <row r="40" spans="2:5" x14ac:dyDescent="0.25">
      <c r="B40" s="95" t="s">
        <v>323</v>
      </c>
      <c r="C40" s="95" t="s">
        <v>324</v>
      </c>
      <c r="D40" s="95" t="s">
        <v>0</v>
      </c>
      <c r="E40" s="96">
        <v>866</v>
      </c>
    </row>
    <row r="41" spans="2:5" x14ac:dyDescent="0.25">
      <c r="B41" s="97" t="s">
        <v>323</v>
      </c>
      <c r="C41" s="97" t="s">
        <v>324</v>
      </c>
      <c r="D41" s="97" t="s">
        <v>0</v>
      </c>
      <c r="E41" s="98">
        <v>878</v>
      </c>
    </row>
    <row r="42" spans="2:5" x14ac:dyDescent="0.25">
      <c r="B42" s="97" t="s">
        <v>382</v>
      </c>
      <c r="C42" s="97" t="s">
        <v>383</v>
      </c>
      <c r="D42" s="97" t="s">
        <v>62</v>
      </c>
      <c r="E42" s="98">
        <v>942</v>
      </c>
    </row>
    <row r="43" spans="2:5" x14ac:dyDescent="0.25">
      <c r="B43" s="95" t="s">
        <v>382</v>
      </c>
      <c r="C43" s="95" t="s">
        <v>383</v>
      </c>
      <c r="D43" s="95" t="s">
        <v>62</v>
      </c>
      <c r="E43" s="96">
        <v>944</v>
      </c>
    </row>
    <row r="44" spans="2:5" x14ac:dyDescent="0.25">
      <c r="B44" s="97" t="s">
        <v>250</v>
      </c>
      <c r="C44" s="97" t="s">
        <v>251</v>
      </c>
      <c r="D44" s="97" t="s">
        <v>62</v>
      </c>
      <c r="E44" s="98">
        <v>907</v>
      </c>
    </row>
    <row r="45" spans="2:5" x14ac:dyDescent="0.25">
      <c r="B45" s="97" t="s">
        <v>250</v>
      </c>
      <c r="C45" s="97" t="s">
        <v>251</v>
      </c>
      <c r="D45" s="97" t="s">
        <v>62</v>
      </c>
      <c r="E45" s="98">
        <v>873</v>
      </c>
    </row>
    <row r="46" spans="2:5" x14ac:dyDescent="0.25">
      <c r="B46" s="97" t="s">
        <v>132</v>
      </c>
      <c r="C46" s="97" t="s">
        <v>133</v>
      </c>
      <c r="D46" s="97" t="s">
        <v>62</v>
      </c>
      <c r="E46" s="98">
        <v>912</v>
      </c>
    </row>
    <row r="47" spans="2:5" x14ac:dyDescent="0.25">
      <c r="B47" s="95" t="s">
        <v>332</v>
      </c>
      <c r="C47" s="95" t="s">
        <v>333</v>
      </c>
      <c r="D47" s="95" t="s">
        <v>334</v>
      </c>
      <c r="E47" s="96">
        <v>839</v>
      </c>
    </row>
    <row r="48" spans="2:5" x14ac:dyDescent="0.25">
      <c r="B48" s="95" t="s">
        <v>295</v>
      </c>
      <c r="C48" s="95" t="s">
        <v>296</v>
      </c>
      <c r="D48" s="95" t="s">
        <v>62</v>
      </c>
      <c r="E48" s="96">
        <v>860</v>
      </c>
    </row>
    <row r="49" spans="2:5" x14ac:dyDescent="0.25">
      <c r="B49" s="95" t="s">
        <v>295</v>
      </c>
      <c r="C49" s="95" t="s">
        <v>296</v>
      </c>
      <c r="D49" s="95" t="s">
        <v>62</v>
      </c>
      <c r="E49" s="96">
        <v>879</v>
      </c>
    </row>
    <row r="50" spans="2:5" x14ac:dyDescent="0.25">
      <c r="B50" s="97" t="s">
        <v>295</v>
      </c>
      <c r="C50" s="97" t="s">
        <v>296</v>
      </c>
      <c r="D50" s="97" t="s">
        <v>62</v>
      </c>
      <c r="E50" s="98">
        <v>880</v>
      </c>
    </row>
    <row r="51" spans="2:5" x14ac:dyDescent="0.25">
      <c r="B51" s="97" t="s">
        <v>295</v>
      </c>
      <c r="C51" s="97" t="s">
        <v>296</v>
      </c>
      <c r="D51" s="97"/>
      <c r="E51" s="98">
        <v>887</v>
      </c>
    </row>
  </sheetData>
  <autoFilter ref="B23:E51" xr:uid="{A06C043E-1D17-4144-B76B-910DE1B330D4}">
    <sortState xmlns:xlrd2="http://schemas.microsoft.com/office/spreadsheetml/2017/richdata2" ref="B24:E51">
      <sortCondition ref="C23:C51"/>
    </sortState>
  </autoFilter>
  <phoneticPr fontId="24"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E51D9-0610-41D8-BF63-6EEBF66D2834}">
  <sheetPr codeName="Hoja8"/>
  <dimension ref="A1:AS589"/>
  <sheetViews>
    <sheetView workbookViewId="0">
      <selection activeCell="I8" sqref="I8"/>
    </sheetView>
  </sheetViews>
  <sheetFormatPr baseColWidth="10" defaultColWidth="11.42578125" defaultRowHeight="15" x14ac:dyDescent="0.25"/>
  <cols>
    <col min="1" max="1" width="15.42578125" bestFit="1" customWidth="1"/>
    <col min="3" max="3" width="13.7109375" customWidth="1"/>
    <col min="4" max="4" width="33.28515625" bestFit="1" customWidth="1"/>
    <col min="5" max="5" width="62.85546875" customWidth="1"/>
    <col min="9" max="9" width="15.5703125" bestFit="1" customWidth="1"/>
    <col min="10" max="10" width="6.42578125" bestFit="1" customWidth="1"/>
    <col min="11" max="11" width="16.42578125" bestFit="1" customWidth="1"/>
    <col min="12" max="12" width="33.42578125" bestFit="1" customWidth="1"/>
    <col min="13" max="14" width="81.140625" bestFit="1" customWidth="1"/>
  </cols>
  <sheetData>
    <row r="1" spans="1:45" x14ac:dyDescent="0.25">
      <c r="A1" t="s">
        <v>575</v>
      </c>
      <c r="B1" t="s">
        <v>576</v>
      </c>
      <c r="C1" t="s">
        <v>33</v>
      </c>
      <c r="D1" t="s">
        <v>46</v>
      </c>
      <c r="E1" t="s">
        <v>577</v>
      </c>
      <c r="I1" t="s">
        <v>575</v>
      </c>
      <c r="J1" t="s">
        <v>576</v>
      </c>
      <c r="K1" t="s">
        <v>33</v>
      </c>
      <c r="L1" t="s">
        <v>46</v>
      </c>
      <c r="M1" t="s">
        <v>577</v>
      </c>
      <c r="N1" t="s">
        <v>626</v>
      </c>
      <c r="R1" s="157" t="s">
        <v>32</v>
      </c>
      <c r="S1" s="158" t="s">
        <v>33</v>
      </c>
      <c r="T1" s="157" t="s">
        <v>601</v>
      </c>
      <c r="U1" s="157" t="s">
        <v>759</v>
      </c>
      <c r="V1" s="157" t="s">
        <v>34</v>
      </c>
      <c r="W1" s="157" t="s">
        <v>35</v>
      </c>
      <c r="X1" s="157" t="s">
        <v>36</v>
      </c>
      <c r="Y1" s="157" t="s">
        <v>37</v>
      </c>
      <c r="Z1" s="157" t="s">
        <v>38</v>
      </c>
      <c r="AA1" s="157" t="s">
        <v>39</v>
      </c>
      <c r="AB1" s="157" t="s">
        <v>40</v>
      </c>
      <c r="AC1" s="157" t="s">
        <v>41</v>
      </c>
      <c r="AD1" s="157" t="s">
        <v>42</v>
      </c>
      <c r="AE1" s="157" t="s">
        <v>43</v>
      </c>
      <c r="AF1" s="157" t="s">
        <v>44</v>
      </c>
      <c r="AG1" s="157" t="s">
        <v>46</v>
      </c>
      <c r="AH1" s="157" t="s">
        <v>45</v>
      </c>
      <c r="AI1" s="157" t="s">
        <v>47</v>
      </c>
      <c r="AJ1" s="157" t="s">
        <v>48</v>
      </c>
      <c r="AK1" s="157" t="s">
        <v>49</v>
      </c>
      <c r="AL1" s="159" t="s">
        <v>50</v>
      </c>
      <c r="AM1" s="157" t="s">
        <v>51</v>
      </c>
      <c r="AN1" s="157" t="s">
        <v>52</v>
      </c>
      <c r="AO1" s="157" t="s">
        <v>53</v>
      </c>
      <c r="AP1" s="157" t="s">
        <v>54</v>
      </c>
      <c r="AQ1" s="160" t="s">
        <v>871</v>
      </c>
      <c r="AR1" s="160" t="s">
        <v>1017</v>
      </c>
      <c r="AS1" s="106" t="s">
        <v>1029</v>
      </c>
    </row>
    <row r="2" spans="1:45" ht="30" x14ac:dyDescent="0.25">
      <c r="A2" s="84">
        <v>45833.474050925928</v>
      </c>
      <c r="B2" s="83">
        <v>77</v>
      </c>
      <c r="C2" s="83" t="s">
        <v>236</v>
      </c>
      <c r="D2" s="83" t="s">
        <v>27</v>
      </c>
      <c r="E2" s="83" t="s">
        <v>238</v>
      </c>
      <c r="I2" s="99">
        <v>45833.474050925928</v>
      </c>
      <c r="J2">
        <v>77</v>
      </c>
      <c r="K2" t="s">
        <v>236</v>
      </c>
      <c r="L2" t="s">
        <v>27</v>
      </c>
      <c r="M2" t="s">
        <v>238</v>
      </c>
      <c r="N2" t="s">
        <v>627</v>
      </c>
      <c r="R2" s="161">
        <v>37</v>
      </c>
      <c r="S2" s="162" t="s">
        <v>739</v>
      </c>
      <c r="T2" s="163" t="s">
        <v>744</v>
      </c>
      <c r="U2" s="163" t="s">
        <v>968</v>
      </c>
      <c r="V2" s="164">
        <v>45847</v>
      </c>
      <c r="W2" s="164"/>
      <c r="X2" s="165">
        <v>26</v>
      </c>
      <c r="Y2" s="166"/>
      <c r="Z2" s="167"/>
      <c r="AA2" s="167"/>
      <c r="AB2" s="164"/>
      <c r="AC2" s="164"/>
      <c r="AD2" s="168"/>
      <c r="AE2" s="166" t="s">
        <v>17</v>
      </c>
      <c r="AF2" s="168" t="s">
        <v>962</v>
      </c>
      <c r="AG2" s="166" t="s">
        <v>68</v>
      </c>
      <c r="AH2" s="91" t="s">
        <v>23</v>
      </c>
      <c r="AI2" s="91" t="s">
        <v>745</v>
      </c>
      <c r="AJ2" s="166" t="s">
        <v>20</v>
      </c>
      <c r="AK2" s="91" t="s">
        <v>81</v>
      </c>
      <c r="AL2" s="162">
        <v>60985</v>
      </c>
      <c r="AM2" s="169" t="s">
        <v>743</v>
      </c>
      <c r="AN2" s="170"/>
      <c r="AO2" s="156" t="s">
        <v>68</v>
      </c>
      <c r="AP2" s="171">
        <v>1</v>
      </c>
      <c r="AQ2" s="156"/>
      <c r="AR2" s="172">
        <v>45991</v>
      </c>
      <c r="AS2" s="1">
        <v>45873</v>
      </c>
    </row>
    <row r="3" spans="1:45" ht="30" x14ac:dyDescent="0.25">
      <c r="A3" s="84">
        <v>45833.474722222221</v>
      </c>
      <c r="B3" s="83">
        <v>92</v>
      </c>
      <c r="C3" s="83" t="s">
        <v>578</v>
      </c>
      <c r="D3" s="83" t="s">
        <v>25</v>
      </c>
      <c r="E3" s="83" t="s">
        <v>579</v>
      </c>
      <c r="I3" s="99">
        <v>45833.474722222221</v>
      </c>
      <c r="J3">
        <v>92</v>
      </c>
      <c r="K3" t="s">
        <v>578</v>
      </c>
      <c r="L3" t="s">
        <v>25</v>
      </c>
      <c r="M3" t="s">
        <v>579</v>
      </c>
      <c r="N3" t="s">
        <v>628</v>
      </c>
      <c r="R3" s="173">
        <v>39</v>
      </c>
      <c r="S3" s="9" t="s">
        <v>996</v>
      </c>
      <c r="T3" s="56" t="s">
        <v>1001</v>
      </c>
      <c r="U3" s="56" t="s">
        <v>1003</v>
      </c>
      <c r="V3" s="123">
        <v>45866</v>
      </c>
      <c r="W3" s="123"/>
      <c r="X3" s="61">
        <v>7</v>
      </c>
      <c r="Y3" s="29"/>
      <c r="Z3" s="174"/>
      <c r="AA3" s="174"/>
      <c r="AB3" s="123"/>
      <c r="AC3" s="123"/>
      <c r="AD3" s="2"/>
      <c r="AE3" s="29" t="s">
        <v>17</v>
      </c>
      <c r="AF3" s="2" t="s">
        <v>1015</v>
      </c>
      <c r="AG3" s="29" t="s">
        <v>68</v>
      </c>
      <c r="AH3" s="40" t="s">
        <v>23</v>
      </c>
      <c r="AI3" s="40" t="s">
        <v>385</v>
      </c>
      <c r="AJ3" s="29" t="s">
        <v>20</v>
      </c>
      <c r="AK3" s="40" t="s">
        <v>81</v>
      </c>
      <c r="AL3" s="9">
        <v>60989</v>
      </c>
      <c r="AM3" s="147" t="s">
        <v>999</v>
      </c>
      <c r="AN3" s="123"/>
      <c r="AO3" s="155" t="s">
        <v>68</v>
      </c>
      <c r="AP3" s="110"/>
      <c r="AQ3" s="155"/>
      <c r="AR3" s="175">
        <v>45991</v>
      </c>
      <c r="AS3" s="1">
        <v>45873</v>
      </c>
    </row>
    <row r="4" spans="1:45" ht="30" x14ac:dyDescent="0.25">
      <c r="A4" s="84">
        <v>45833.480150462965</v>
      </c>
      <c r="B4" s="83">
        <v>91</v>
      </c>
      <c r="C4" s="83" t="s">
        <v>65</v>
      </c>
      <c r="D4" s="83" t="s">
        <v>23</v>
      </c>
      <c r="E4" s="83" t="s">
        <v>67</v>
      </c>
      <c r="I4" s="99">
        <v>45833.480150462965</v>
      </c>
      <c r="J4">
        <v>91</v>
      </c>
      <c r="K4" t="s">
        <v>65</v>
      </c>
      <c r="L4" t="s">
        <v>23</v>
      </c>
      <c r="M4" t="s">
        <v>67</v>
      </c>
      <c r="N4" t="s">
        <v>629</v>
      </c>
      <c r="R4" s="161">
        <v>40</v>
      </c>
      <c r="S4" s="162" t="s">
        <v>1008</v>
      </c>
      <c r="T4" s="163" t="s">
        <v>1023</v>
      </c>
      <c r="U4" s="163" t="s">
        <v>1013</v>
      </c>
      <c r="V4" s="164">
        <v>45866</v>
      </c>
      <c r="W4" s="164"/>
      <c r="X4" s="165">
        <v>7</v>
      </c>
      <c r="Y4" s="166"/>
      <c r="Z4" s="167"/>
      <c r="AA4" s="167"/>
      <c r="AB4" s="164"/>
      <c r="AC4" s="164"/>
      <c r="AD4" s="168"/>
      <c r="AE4" s="166" t="s">
        <v>17</v>
      </c>
      <c r="AF4" s="168" t="s">
        <v>1024</v>
      </c>
      <c r="AG4" s="166" t="s">
        <v>68</v>
      </c>
      <c r="AH4" s="91" t="s">
        <v>23</v>
      </c>
      <c r="AI4" s="91" t="s">
        <v>283</v>
      </c>
      <c r="AJ4" s="166" t="s">
        <v>20</v>
      </c>
      <c r="AK4" s="91" t="s">
        <v>146</v>
      </c>
      <c r="AL4" s="162">
        <v>60987</v>
      </c>
      <c r="AM4" s="149" t="s">
        <v>1012</v>
      </c>
      <c r="AN4" s="164"/>
      <c r="AO4" s="156" t="s">
        <v>68</v>
      </c>
      <c r="AP4" s="171">
        <v>1</v>
      </c>
      <c r="AQ4" s="156"/>
      <c r="AR4" s="172">
        <v>45991</v>
      </c>
      <c r="AS4" s="1">
        <v>45873</v>
      </c>
    </row>
    <row r="5" spans="1:45" ht="30" x14ac:dyDescent="0.25">
      <c r="A5" s="84">
        <v>45833.480312500003</v>
      </c>
      <c r="B5" s="83">
        <v>13</v>
      </c>
      <c r="C5" s="83" t="s">
        <v>122</v>
      </c>
      <c r="D5" s="83" t="s">
        <v>26</v>
      </c>
      <c r="E5" s="83" t="s">
        <v>580</v>
      </c>
      <c r="I5" s="99">
        <v>45833.480312500003</v>
      </c>
      <c r="J5">
        <v>13</v>
      </c>
      <c r="K5" t="s">
        <v>122</v>
      </c>
      <c r="L5" t="s">
        <v>26</v>
      </c>
      <c r="M5" t="s">
        <v>580</v>
      </c>
      <c r="N5" t="s">
        <v>630</v>
      </c>
      <c r="R5" s="173">
        <v>69</v>
      </c>
      <c r="S5" s="9" t="s">
        <v>117</v>
      </c>
      <c r="T5" s="56" t="s">
        <v>118</v>
      </c>
      <c r="U5" s="56" t="s">
        <v>969</v>
      </c>
      <c r="V5" s="29">
        <v>45819</v>
      </c>
      <c r="W5" s="123"/>
      <c r="X5" s="61">
        <v>54</v>
      </c>
      <c r="Y5" s="29"/>
      <c r="Z5" s="174"/>
      <c r="AA5" s="174"/>
      <c r="AB5" s="123"/>
      <c r="AC5" s="29"/>
      <c r="AD5" s="9"/>
      <c r="AE5" s="29" t="s">
        <v>17</v>
      </c>
      <c r="AF5" s="56" t="s">
        <v>624</v>
      </c>
      <c r="AG5" s="29" t="s">
        <v>68</v>
      </c>
      <c r="AH5" s="40" t="s">
        <v>25</v>
      </c>
      <c r="AI5" s="56" t="s">
        <v>120</v>
      </c>
      <c r="AJ5" s="29" t="s">
        <v>20</v>
      </c>
      <c r="AK5" s="40" t="s">
        <v>70</v>
      </c>
      <c r="AL5" s="9">
        <v>60982</v>
      </c>
      <c r="AM5" s="126" t="s">
        <v>121</v>
      </c>
      <c r="AN5" s="123"/>
      <c r="AO5" s="155" t="s">
        <v>68</v>
      </c>
      <c r="AP5" s="110"/>
      <c r="AQ5" s="155"/>
      <c r="AR5" s="175">
        <v>45991</v>
      </c>
      <c r="AS5" s="1">
        <v>45873</v>
      </c>
    </row>
    <row r="6" spans="1:45" ht="30" x14ac:dyDescent="0.25">
      <c r="A6" s="84">
        <v>45833.480312500003</v>
      </c>
      <c r="B6" s="83">
        <v>14</v>
      </c>
      <c r="C6" s="83" t="s">
        <v>73</v>
      </c>
      <c r="D6" s="83" t="s">
        <v>21</v>
      </c>
      <c r="E6" s="83" t="s">
        <v>76</v>
      </c>
      <c r="I6" s="99">
        <v>45833.480312500003</v>
      </c>
      <c r="J6">
        <v>14</v>
      </c>
      <c r="K6" t="s">
        <v>73</v>
      </c>
      <c r="L6" t="s">
        <v>21</v>
      </c>
      <c r="M6" t="s">
        <v>76</v>
      </c>
      <c r="N6" t="s">
        <v>631</v>
      </c>
      <c r="R6" s="176">
        <v>70</v>
      </c>
      <c r="S6" s="177" t="s">
        <v>108</v>
      </c>
      <c r="T6" s="178" t="s">
        <v>594</v>
      </c>
      <c r="U6" s="178" t="s">
        <v>856</v>
      </c>
      <c r="V6" s="170">
        <v>45814</v>
      </c>
      <c r="W6" s="170"/>
      <c r="X6" s="179">
        <v>59</v>
      </c>
      <c r="Y6" s="170"/>
      <c r="Z6" s="180"/>
      <c r="AA6" s="180"/>
      <c r="AB6" s="170"/>
      <c r="AC6" s="170"/>
      <c r="AD6" s="177"/>
      <c r="AE6" s="170" t="s">
        <v>17</v>
      </c>
      <c r="AF6" s="178" t="s">
        <v>931</v>
      </c>
      <c r="AG6" s="170" t="s">
        <v>68</v>
      </c>
      <c r="AH6" s="181" t="s">
        <v>25</v>
      </c>
      <c r="AI6" s="181" t="s">
        <v>283</v>
      </c>
      <c r="AJ6" s="170" t="s">
        <v>20</v>
      </c>
      <c r="AK6" s="91" t="s">
        <v>1027</v>
      </c>
      <c r="AL6" s="177">
        <v>60980</v>
      </c>
      <c r="AM6" s="182" t="s">
        <v>109</v>
      </c>
      <c r="AN6" s="170"/>
      <c r="AO6" s="156" t="s">
        <v>68</v>
      </c>
      <c r="AP6" s="171"/>
      <c r="AQ6" s="156"/>
      <c r="AR6" s="172">
        <v>45991</v>
      </c>
      <c r="AS6" s="1">
        <v>45873</v>
      </c>
    </row>
    <row r="7" spans="1:45" ht="75" x14ac:dyDescent="0.25">
      <c r="A7" s="84">
        <v>45833.480312500003</v>
      </c>
      <c r="B7" s="83">
        <v>15</v>
      </c>
      <c r="C7" s="83" t="s">
        <v>78</v>
      </c>
      <c r="D7" s="83" t="s">
        <v>21</v>
      </c>
      <c r="E7" s="83" t="s">
        <v>80</v>
      </c>
      <c r="I7" s="99">
        <v>45833.480312500003</v>
      </c>
      <c r="J7">
        <v>15</v>
      </c>
      <c r="K7" t="s">
        <v>78</v>
      </c>
      <c r="L7" t="s">
        <v>21</v>
      </c>
      <c r="M7" t="s">
        <v>80</v>
      </c>
      <c r="N7" t="s">
        <v>632</v>
      </c>
      <c r="R7" s="173">
        <v>72</v>
      </c>
      <c r="S7" s="9" t="s">
        <v>193</v>
      </c>
      <c r="T7" s="56" t="s">
        <v>194</v>
      </c>
      <c r="U7" s="56"/>
      <c r="V7" s="29">
        <v>45792</v>
      </c>
      <c r="W7" s="123"/>
      <c r="X7" s="61">
        <v>81</v>
      </c>
      <c r="Y7" s="29"/>
      <c r="Z7" s="174"/>
      <c r="AA7" s="174">
        <v>2135</v>
      </c>
      <c r="AB7" s="123"/>
      <c r="AC7" s="29"/>
      <c r="AD7" s="9"/>
      <c r="AE7" s="29" t="s">
        <v>17</v>
      </c>
      <c r="AF7" s="136" t="s">
        <v>982</v>
      </c>
      <c r="AG7" s="29" t="s">
        <v>68</v>
      </c>
      <c r="AH7" s="40" t="s">
        <v>26</v>
      </c>
      <c r="AI7" s="40" t="s">
        <v>196</v>
      </c>
      <c r="AJ7" s="29" t="s">
        <v>20</v>
      </c>
      <c r="AK7" s="40" t="s">
        <v>1016</v>
      </c>
      <c r="AL7" s="9"/>
      <c r="AM7" s="129" t="s">
        <v>197</v>
      </c>
      <c r="AN7" s="123"/>
      <c r="AO7" s="155" t="s">
        <v>68</v>
      </c>
      <c r="AP7" s="110"/>
      <c r="AQ7" s="155"/>
      <c r="AR7" s="175">
        <v>45991</v>
      </c>
      <c r="AS7" s="1">
        <v>45873</v>
      </c>
    </row>
    <row r="8" spans="1:45" ht="225" x14ac:dyDescent="0.25">
      <c r="A8" s="84">
        <v>45833.480324074073</v>
      </c>
      <c r="B8" s="83">
        <v>16</v>
      </c>
      <c r="C8" s="83" t="s">
        <v>82</v>
      </c>
      <c r="D8" s="83" t="s">
        <v>55</v>
      </c>
      <c r="E8" s="83" t="s">
        <v>84</v>
      </c>
      <c r="I8" s="99">
        <v>45833.480324074073</v>
      </c>
      <c r="J8">
        <v>16</v>
      </c>
      <c r="K8" t="s">
        <v>82</v>
      </c>
      <c r="L8" t="s">
        <v>55</v>
      </c>
      <c r="M8" t="s">
        <v>84</v>
      </c>
      <c r="N8" t="s">
        <v>633</v>
      </c>
      <c r="R8" s="176">
        <v>74</v>
      </c>
      <c r="S8" s="177" t="s">
        <v>122</v>
      </c>
      <c r="T8" s="178" t="s">
        <v>123</v>
      </c>
      <c r="U8" s="178"/>
      <c r="V8" s="170">
        <v>45729</v>
      </c>
      <c r="W8" s="170"/>
      <c r="X8" s="179">
        <v>144</v>
      </c>
      <c r="Y8" s="170" t="s">
        <v>12</v>
      </c>
      <c r="Z8" s="180">
        <v>0</v>
      </c>
      <c r="AA8" s="180"/>
      <c r="AB8" s="170"/>
      <c r="AC8" s="170" t="s">
        <v>58</v>
      </c>
      <c r="AD8" s="177"/>
      <c r="AE8" s="170" t="s">
        <v>17</v>
      </c>
      <c r="AF8" s="183" t="s">
        <v>1002</v>
      </c>
      <c r="AG8" s="170" t="s">
        <v>68</v>
      </c>
      <c r="AH8" s="181" t="s">
        <v>26</v>
      </c>
      <c r="AI8" s="181" t="s">
        <v>616</v>
      </c>
      <c r="AJ8" s="170" t="s">
        <v>20</v>
      </c>
      <c r="AK8" s="181" t="s">
        <v>70</v>
      </c>
      <c r="AL8" s="177">
        <v>60958</v>
      </c>
      <c r="AM8" s="184" t="s">
        <v>124</v>
      </c>
      <c r="AN8" s="170"/>
      <c r="AO8" s="156" t="s">
        <v>68</v>
      </c>
      <c r="AP8" s="171"/>
      <c r="AQ8" s="156"/>
      <c r="AR8" s="172">
        <v>45991</v>
      </c>
      <c r="AS8" s="1">
        <v>45873</v>
      </c>
    </row>
    <row r="9" spans="1:45" ht="30" x14ac:dyDescent="0.25">
      <c r="A9" s="84">
        <v>45833.480324074073</v>
      </c>
      <c r="B9" s="83">
        <v>17</v>
      </c>
      <c r="C9" s="83" t="s">
        <v>85</v>
      </c>
      <c r="D9" s="83" t="s">
        <v>55</v>
      </c>
      <c r="E9" s="83" t="s">
        <v>84</v>
      </c>
      <c r="I9" s="99">
        <v>45833.480324074073</v>
      </c>
      <c r="J9">
        <v>17</v>
      </c>
      <c r="K9" t="s">
        <v>85</v>
      </c>
      <c r="L9" t="s">
        <v>55</v>
      </c>
      <c r="M9" t="s">
        <v>84</v>
      </c>
      <c r="N9" t="s">
        <v>634</v>
      </c>
      <c r="R9" s="173">
        <v>75</v>
      </c>
      <c r="S9" s="9" t="s">
        <v>602</v>
      </c>
      <c r="T9" s="56" t="s">
        <v>603</v>
      </c>
      <c r="U9" s="56"/>
      <c r="V9" s="29">
        <v>45840</v>
      </c>
      <c r="W9" s="123"/>
      <c r="X9" s="61">
        <v>33</v>
      </c>
      <c r="Y9" s="29"/>
      <c r="Z9" s="174"/>
      <c r="AA9" s="174">
        <v>2147</v>
      </c>
      <c r="AB9" s="123"/>
      <c r="AC9" s="123"/>
      <c r="AD9" s="2"/>
      <c r="AE9" s="29" t="s">
        <v>17</v>
      </c>
      <c r="AF9" s="2" t="s">
        <v>945</v>
      </c>
      <c r="AG9" s="29" t="s">
        <v>68</v>
      </c>
      <c r="AH9" s="40" t="s">
        <v>944</v>
      </c>
      <c r="AI9" s="56" t="s">
        <v>120</v>
      </c>
      <c r="AJ9" s="29" t="s">
        <v>20</v>
      </c>
      <c r="AK9" s="40" t="s">
        <v>70</v>
      </c>
      <c r="AL9" s="9">
        <v>60981</v>
      </c>
      <c r="AM9" s="125" t="s">
        <v>606</v>
      </c>
      <c r="AN9" s="123"/>
      <c r="AO9" s="155" t="s">
        <v>68</v>
      </c>
      <c r="AP9" s="110"/>
      <c r="AQ9" s="155"/>
      <c r="AR9" s="175">
        <v>45991</v>
      </c>
      <c r="AS9" s="1">
        <v>45873</v>
      </c>
    </row>
    <row r="10" spans="1:45" ht="30" x14ac:dyDescent="0.25">
      <c r="A10" s="84">
        <v>45833.480324074073</v>
      </c>
      <c r="B10" s="83">
        <v>18</v>
      </c>
      <c r="C10" s="83" t="s">
        <v>260</v>
      </c>
      <c r="D10" s="83" t="s">
        <v>29</v>
      </c>
      <c r="E10" s="83" t="s">
        <v>262</v>
      </c>
      <c r="I10" s="99">
        <v>45833.480324074073</v>
      </c>
      <c r="J10">
        <v>18</v>
      </c>
      <c r="K10" t="s">
        <v>260</v>
      </c>
      <c r="L10" t="s">
        <v>29</v>
      </c>
      <c r="M10" t="s">
        <v>262</v>
      </c>
      <c r="N10" t="s">
        <v>635</v>
      </c>
      <c r="R10" s="176">
        <v>77</v>
      </c>
      <c r="S10" s="177" t="s">
        <v>372</v>
      </c>
      <c r="T10" s="178" t="s">
        <v>373</v>
      </c>
      <c r="U10" s="178"/>
      <c r="V10" s="170">
        <v>45772</v>
      </c>
      <c r="W10" s="185"/>
      <c r="X10" s="179">
        <v>101</v>
      </c>
      <c r="Y10" s="170"/>
      <c r="Z10" s="186"/>
      <c r="AA10" s="186"/>
      <c r="AB10" s="185"/>
      <c r="AC10" s="170"/>
      <c r="AD10" s="177"/>
      <c r="AE10" s="170" t="s">
        <v>17</v>
      </c>
      <c r="AF10" s="187" t="s">
        <v>963</v>
      </c>
      <c r="AG10" s="170" t="s">
        <v>68</v>
      </c>
      <c r="AH10" s="181" t="s">
        <v>27</v>
      </c>
      <c r="AI10" s="181" t="s">
        <v>293</v>
      </c>
      <c r="AJ10" s="170" t="s">
        <v>20</v>
      </c>
      <c r="AK10" s="181" t="s">
        <v>115</v>
      </c>
      <c r="AL10" s="177" t="s">
        <v>72</v>
      </c>
      <c r="AM10" s="184" t="s">
        <v>374</v>
      </c>
      <c r="AN10" s="185" t="s">
        <v>322</v>
      </c>
      <c r="AO10" s="156" t="s">
        <v>68</v>
      </c>
      <c r="AP10" s="188"/>
      <c r="AQ10" s="156"/>
      <c r="AR10" s="172">
        <v>45961</v>
      </c>
      <c r="AS10" s="1">
        <v>45873</v>
      </c>
    </row>
    <row r="11" spans="1:45" ht="30" x14ac:dyDescent="0.25">
      <c r="A11" s="84">
        <v>45833.48033564815</v>
      </c>
      <c r="B11" s="83">
        <v>19</v>
      </c>
      <c r="C11" s="83" t="s">
        <v>318</v>
      </c>
      <c r="D11" s="83" t="s">
        <v>30</v>
      </c>
      <c r="E11" s="83" t="s">
        <v>320</v>
      </c>
      <c r="I11" s="99">
        <v>45833.48033564815</v>
      </c>
      <c r="J11">
        <v>19</v>
      </c>
      <c r="K11" t="s">
        <v>318</v>
      </c>
      <c r="L11" t="s">
        <v>30</v>
      </c>
      <c r="M11" t="s">
        <v>320</v>
      </c>
      <c r="N11" t="s">
        <v>636</v>
      </c>
      <c r="R11" s="189">
        <v>80</v>
      </c>
      <c r="S11" s="31" t="s">
        <v>225</v>
      </c>
      <c r="T11" s="34" t="s">
        <v>226</v>
      </c>
      <c r="U11" s="34"/>
      <c r="V11" s="32">
        <v>45649.486192129632</v>
      </c>
      <c r="W11" s="32"/>
      <c r="X11" s="33">
        <v>223.5138078703676</v>
      </c>
      <c r="Y11" s="31" t="s">
        <v>227</v>
      </c>
      <c r="Z11" s="190">
        <v>6327500</v>
      </c>
      <c r="AA11" s="190">
        <v>2116</v>
      </c>
      <c r="AB11" s="32">
        <v>45758</v>
      </c>
      <c r="AC11" s="32"/>
      <c r="AD11" s="31">
        <v>927</v>
      </c>
      <c r="AE11" s="32" t="s">
        <v>17</v>
      </c>
      <c r="AF11" s="58" t="s">
        <v>964</v>
      </c>
      <c r="AG11" s="32" t="s">
        <v>68</v>
      </c>
      <c r="AH11" s="41" t="s">
        <v>28</v>
      </c>
      <c r="AI11" s="41" t="s">
        <v>283</v>
      </c>
      <c r="AJ11" s="32" t="s">
        <v>20</v>
      </c>
      <c r="AK11" s="40" t="s">
        <v>1027</v>
      </c>
      <c r="AL11" s="31">
        <v>60945</v>
      </c>
      <c r="AM11" s="36" t="s">
        <v>229</v>
      </c>
      <c r="AN11" s="32"/>
      <c r="AO11" s="155" t="s">
        <v>68</v>
      </c>
      <c r="AP11" s="110"/>
      <c r="AQ11" s="155"/>
      <c r="AR11" s="175">
        <v>45930</v>
      </c>
      <c r="AS11" s="1">
        <v>45873</v>
      </c>
    </row>
    <row r="12" spans="1:45" ht="30" x14ac:dyDescent="0.25">
      <c r="A12" s="84">
        <v>45833.48033564815</v>
      </c>
      <c r="B12" s="83">
        <v>20</v>
      </c>
      <c r="C12" s="83" t="s">
        <v>99</v>
      </c>
      <c r="D12" s="83" t="s">
        <v>55</v>
      </c>
      <c r="E12" s="83" t="s">
        <v>84</v>
      </c>
      <c r="I12" s="99">
        <v>45833.48033564815</v>
      </c>
      <c r="J12">
        <v>20</v>
      </c>
      <c r="K12" t="s">
        <v>99</v>
      </c>
      <c r="L12" t="s">
        <v>55</v>
      </c>
      <c r="M12" t="s">
        <v>84</v>
      </c>
      <c r="N12" t="s">
        <v>637</v>
      </c>
      <c r="R12" s="176">
        <v>81</v>
      </c>
      <c r="S12" s="177" t="s">
        <v>318</v>
      </c>
      <c r="T12" s="178" t="s">
        <v>319</v>
      </c>
      <c r="U12" s="178"/>
      <c r="V12" s="170">
        <v>45470</v>
      </c>
      <c r="W12" s="185"/>
      <c r="X12" s="179">
        <v>403</v>
      </c>
      <c r="Y12" s="170"/>
      <c r="Z12" s="186">
        <v>2360940</v>
      </c>
      <c r="AA12" s="186">
        <v>2089</v>
      </c>
      <c r="AB12" s="185">
        <v>45716</v>
      </c>
      <c r="AC12" s="170"/>
      <c r="AD12" s="177">
        <v>953</v>
      </c>
      <c r="AE12" s="170" t="s">
        <v>17</v>
      </c>
      <c r="AF12" s="187" t="s">
        <v>1014</v>
      </c>
      <c r="AG12" s="170" t="s">
        <v>68</v>
      </c>
      <c r="AH12" s="181" t="s">
        <v>28</v>
      </c>
      <c r="AI12" s="181" t="s">
        <v>90</v>
      </c>
      <c r="AJ12" s="170" t="s">
        <v>20</v>
      </c>
      <c r="AK12" s="181" t="s">
        <v>70</v>
      </c>
      <c r="AL12" s="177">
        <v>60893</v>
      </c>
      <c r="AM12" s="184" t="s">
        <v>321</v>
      </c>
      <c r="AN12" s="185" t="s">
        <v>322</v>
      </c>
      <c r="AO12" s="156" t="s">
        <v>68</v>
      </c>
      <c r="AP12" s="188"/>
      <c r="AQ12" s="156"/>
      <c r="AR12" s="172">
        <v>45930</v>
      </c>
      <c r="AS12" s="1">
        <v>45873</v>
      </c>
    </row>
    <row r="13" spans="1:45" ht="30" x14ac:dyDescent="0.25">
      <c r="A13" s="84">
        <v>45833.48033564815</v>
      </c>
      <c r="B13" s="83">
        <v>21</v>
      </c>
      <c r="C13" s="83" t="s">
        <v>101</v>
      </c>
      <c r="D13" s="83" t="s">
        <v>55</v>
      </c>
      <c r="E13" s="83" t="s">
        <v>84</v>
      </c>
      <c r="I13" s="99">
        <v>45833.48033564815</v>
      </c>
      <c r="J13">
        <v>21</v>
      </c>
      <c r="K13" t="s">
        <v>101</v>
      </c>
      <c r="L13" t="s">
        <v>55</v>
      </c>
      <c r="M13" t="s">
        <v>84</v>
      </c>
      <c r="N13" t="s">
        <v>638</v>
      </c>
      <c r="R13" s="173">
        <v>82</v>
      </c>
      <c r="S13" s="9" t="s">
        <v>280</v>
      </c>
      <c r="T13" s="56" t="s">
        <v>281</v>
      </c>
      <c r="U13" s="56"/>
      <c r="V13" s="29">
        <v>45722</v>
      </c>
      <c r="W13" s="123"/>
      <c r="X13" s="61">
        <v>151</v>
      </c>
      <c r="Y13" s="29"/>
      <c r="Z13" s="174"/>
      <c r="AA13" s="174"/>
      <c r="AB13" s="123"/>
      <c r="AC13" s="29" t="s">
        <v>252</v>
      </c>
      <c r="AD13" s="9" t="s">
        <v>599</v>
      </c>
      <c r="AE13" s="29" t="s">
        <v>17</v>
      </c>
      <c r="AF13" s="59" t="s">
        <v>1025</v>
      </c>
      <c r="AG13" s="29" t="s">
        <v>68</v>
      </c>
      <c r="AH13" s="40" t="s">
        <v>29</v>
      </c>
      <c r="AI13" s="40" t="s">
        <v>283</v>
      </c>
      <c r="AJ13" s="29" t="s">
        <v>20</v>
      </c>
      <c r="AK13" s="40" t="s">
        <v>1027</v>
      </c>
      <c r="AL13" s="9">
        <v>60930</v>
      </c>
      <c r="AM13" s="125" t="s">
        <v>284</v>
      </c>
      <c r="AN13" s="123" t="s">
        <v>285</v>
      </c>
      <c r="AO13" s="155" t="s">
        <v>68</v>
      </c>
      <c r="AP13" s="110"/>
      <c r="AQ13" s="155"/>
      <c r="AR13" s="175">
        <v>45930</v>
      </c>
      <c r="AS13" s="1">
        <v>45873</v>
      </c>
    </row>
    <row r="14" spans="1:45" ht="30" x14ac:dyDescent="0.25">
      <c r="A14" s="84">
        <v>45833.48033564815</v>
      </c>
      <c r="B14" s="83">
        <v>22</v>
      </c>
      <c r="C14" s="83" t="s">
        <v>87</v>
      </c>
      <c r="D14" s="83" t="s">
        <v>25</v>
      </c>
      <c r="E14" s="83" t="s">
        <v>581</v>
      </c>
      <c r="I14" s="99">
        <v>45833.48033564815</v>
      </c>
      <c r="J14">
        <v>22</v>
      </c>
      <c r="K14" t="s">
        <v>87</v>
      </c>
      <c r="L14" t="s">
        <v>25</v>
      </c>
      <c r="M14" t="s">
        <v>581</v>
      </c>
      <c r="N14" t="s">
        <v>639</v>
      </c>
      <c r="R14" s="176">
        <v>83</v>
      </c>
      <c r="S14" s="177" t="s">
        <v>250</v>
      </c>
      <c r="T14" s="178" t="s">
        <v>251</v>
      </c>
      <c r="U14" s="178" t="s">
        <v>1004</v>
      </c>
      <c r="V14" s="170">
        <v>45723</v>
      </c>
      <c r="W14" s="170"/>
      <c r="X14" s="179">
        <v>150</v>
      </c>
      <c r="Y14" s="170"/>
      <c r="Z14" s="180"/>
      <c r="AA14" s="180"/>
      <c r="AB14" s="170"/>
      <c r="AC14" s="170" t="s">
        <v>252</v>
      </c>
      <c r="AD14" s="177" t="s">
        <v>595</v>
      </c>
      <c r="AE14" s="170" t="s">
        <v>17</v>
      </c>
      <c r="AF14" s="187" t="s">
        <v>939</v>
      </c>
      <c r="AG14" s="170" t="s">
        <v>68</v>
      </c>
      <c r="AH14" s="181" t="s">
        <v>29</v>
      </c>
      <c r="AI14" s="181" t="s">
        <v>283</v>
      </c>
      <c r="AJ14" s="170" t="s">
        <v>20</v>
      </c>
      <c r="AK14" s="91" t="s">
        <v>1027</v>
      </c>
      <c r="AL14" s="177">
        <v>60871</v>
      </c>
      <c r="AM14" s="184" t="s">
        <v>254</v>
      </c>
      <c r="AN14" s="170"/>
      <c r="AO14" s="156" t="s">
        <v>68</v>
      </c>
      <c r="AP14" s="171"/>
      <c r="AQ14" s="156"/>
      <c r="AR14" s="172">
        <v>45900</v>
      </c>
      <c r="AS14" s="1">
        <v>45873</v>
      </c>
    </row>
    <row r="15" spans="1:45" ht="45" x14ac:dyDescent="0.25">
      <c r="A15" s="84">
        <v>45833.48033564815</v>
      </c>
      <c r="B15" s="83">
        <v>23</v>
      </c>
      <c r="C15" s="83" t="s">
        <v>323</v>
      </c>
      <c r="D15" s="83" t="s">
        <v>30</v>
      </c>
      <c r="E15" s="83" t="s">
        <v>582</v>
      </c>
      <c r="I15" s="99">
        <v>45833.48033564815</v>
      </c>
      <c r="J15">
        <v>23</v>
      </c>
      <c r="K15" t="s">
        <v>323</v>
      </c>
      <c r="L15" t="s">
        <v>30</v>
      </c>
      <c r="M15" t="s">
        <v>582</v>
      </c>
      <c r="N15" t="s">
        <v>640</v>
      </c>
      <c r="R15" s="189">
        <v>84</v>
      </c>
      <c r="S15" s="31" t="s">
        <v>255</v>
      </c>
      <c r="T15" s="34" t="s">
        <v>256</v>
      </c>
      <c r="U15" s="34" t="s">
        <v>1005</v>
      </c>
      <c r="V15" s="32">
        <v>45624</v>
      </c>
      <c r="W15" s="32"/>
      <c r="X15" s="33">
        <v>249</v>
      </c>
      <c r="Y15" s="31" t="s">
        <v>257</v>
      </c>
      <c r="Z15" s="190">
        <v>14401734</v>
      </c>
      <c r="AA15" s="190"/>
      <c r="AB15" s="32">
        <v>45723</v>
      </c>
      <c r="AC15" s="31" t="s">
        <v>252</v>
      </c>
      <c r="AD15" s="109" t="s">
        <v>983</v>
      </c>
      <c r="AE15" s="32" t="s">
        <v>17</v>
      </c>
      <c r="AF15" s="58" t="s">
        <v>966</v>
      </c>
      <c r="AG15" s="32" t="s">
        <v>68</v>
      </c>
      <c r="AH15" s="41" t="s">
        <v>30</v>
      </c>
      <c r="AI15" s="41" t="s">
        <v>750</v>
      </c>
      <c r="AJ15" s="32" t="s">
        <v>20</v>
      </c>
      <c r="AK15" s="40" t="s">
        <v>1027</v>
      </c>
      <c r="AL15" s="31">
        <v>60927</v>
      </c>
      <c r="AM15" s="36" t="s">
        <v>259</v>
      </c>
      <c r="AN15" s="32"/>
      <c r="AO15" s="155" t="s">
        <v>68</v>
      </c>
      <c r="AP15" s="110"/>
      <c r="AQ15" s="155">
        <v>4</v>
      </c>
      <c r="AR15" s="175">
        <v>45879</v>
      </c>
      <c r="AS15" s="1">
        <v>45873</v>
      </c>
    </row>
    <row r="16" spans="1:45" ht="30" x14ac:dyDescent="0.25">
      <c r="A16" s="84">
        <v>45833.480347222219</v>
      </c>
      <c r="B16" s="83">
        <v>24</v>
      </c>
      <c r="C16" s="83" t="s">
        <v>110</v>
      </c>
      <c r="D16" s="83" t="s">
        <v>583</v>
      </c>
      <c r="E16" s="83" t="s">
        <v>113</v>
      </c>
      <c r="I16" s="99">
        <v>45833.480347222219</v>
      </c>
      <c r="J16">
        <v>24</v>
      </c>
      <c r="K16" t="s">
        <v>110</v>
      </c>
      <c r="L16" t="s">
        <v>583</v>
      </c>
      <c r="M16" t="s">
        <v>113</v>
      </c>
      <c r="N16" t="s">
        <v>641</v>
      </c>
      <c r="R16" s="176">
        <v>85</v>
      </c>
      <c r="S16" s="177" t="s">
        <v>295</v>
      </c>
      <c r="T16" s="178" t="s">
        <v>296</v>
      </c>
      <c r="U16" s="178"/>
      <c r="V16" s="170">
        <v>45700</v>
      </c>
      <c r="W16" s="185"/>
      <c r="X16" s="179">
        <v>173</v>
      </c>
      <c r="Y16" s="177" t="s">
        <v>62</v>
      </c>
      <c r="Z16" s="186" t="s">
        <v>62</v>
      </c>
      <c r="AA16" s="186"/>
      <c r="AB16" s="185" t="s">
        <v>62</v>
      </c>
      <c r="AC16" s="170" t="s">
        <v>252</v>
      </c>
      <c r="AD16" s="109" t="s">
        <v>607</v>
      </c>
      <c r="AE16" s="170" t="s">
        <v>17</v>
      </c>
      <c r="AF16" s="191" t="s">
        <v>936</v>
      </c>
      <c r="AG16" s="170" t="s">
        <v>68</v>
      </c>
      <c r="AH16" s="181" t="s">
        <v>30</v>
      </c>
      <c r="AI16" s="181" t="s">
        <v>285</v>
      </c>
      <c r="AJ16" s="170" t="s">
        <v>20</v>
      </c>
      <c r="AK16" s="181" t="s">
        <v>298</v>
      </c>
      <c r="AL16" s="177" t="s">
        <v>77</v>
      </c>
      <c r="AM16" s="192" t="s">
        <v>219</v>
      </c>
      <c r="AN16" s="185" t="s">
        <v>285</v>
      </c>
      <c r="AO16" s="156" t="s">
        <v>1028</v>
      </c>
      <c r="AP16" s="188"/>
      <c r="AQ16" s="156"/>
      <c r="AR16" s="172"/>
    </row>
    <row r="17" spans="1:44" ht="90" x14ac:dyDescent="0.25">
      <c r="A17" s="84">
        <v>45833.480347222219</v>
      </c>
      <c r="B17" s="83">
        <v>25</v>
      </c>
      <c r="C17" s="83" t="s">
        <v>280</v>
      </c>
      <c r="D17" s="83" t="s">
        <v>29</v>
      </c>
      <c r="E17" s="83" t="s">
        <v>584</v>
      </c>
      <c r="I17" s="99">
        <v>45833.480347222219</v>
      </c>
      <c r="J17">
        <v>25</v>
      </c>
      <c r="K17" t="s">
        <v>280</v>
      </c>
      <c r="L17" t="s">
        <v>29</v>
      </c>
      <c r="M17" t="s">
        <v>584</v>
      </c>
      <c r="N17" t="s">
        <v>642</v>
      </c>
      <c r="R17" s="189">
        <v>86</v>
      </c>
      <c r="S17" s="31" t="s">
        <v>323</v>
      </c>
      <c r="T17" s="34" t="s">
        <v>324</v>
      </c>
      <c r="U17" s="34" t="s">
        <v>1007</v>
      </c>
      <c r="V17" s="32">
        <v>45440</v>
      </c>
      <c r="W17" s="32"/>
      <c r="X17" s="33">
        <v>433</v>
      </c>
      <c r="Y17" s="152" t="s">
        <v>0</v>
      </c>
      <c r="Z17" s="190">
        <v>16290486</v>
      </c>
      <c r="AA17" s="190" t="s">
        <v>617</v>
      </c>
      <c r="AB17" s="32">
        <v>45674</v>
      </c>
      <c r="AC17" s="32" t="s">
        <v>134</v>
      </c>
      <c r="AD17" s="109" t="s">
        <v>325</v>
      </c>
      <c r="AE17" s="32" t="s">
        <v>17</v>
      </c>
      <c r="AF17" s="58" t="s">
        <v>967</v>
      </c>
      <c r="AG17" s="32" t="s">
        <v>68</v>
      </c>
      <c r="AH17" s="41" t="s">
        <v>30</v>
      </c>
      <c r="AI17" s="41" t="s">
        <v>114</v>
      </c>
      <c r="AJ17" s="32" t="s">
        <v>20</v>
      </c>
      <c r="AK17" s="41" t="s">
        <v>115</v>
      </c>
      <c r="AL17" s="31">
        <v>60890</v>
      </c>
      <c r="AM17" s="36" t="s">
        <v>327</v>
      </c>
      <c r="AN17" s="32"/>
      <c r="AO17" s="155" t="s">
        <v>68</v>
      </c>
      <c r="AP17" s="111"/>
      <c r="AQ17" s="155"/>
      <c r="AR17" s="175">
        <v>45900</v>
      </c>
    </row>
    <row r="18" spans="1:44" ht="30" x14ac:dyDescent="0.25">
      <c r="A18" s="84">
        <v>45833.480347222219</v>
      </c>
      <c r="B18" s="83">
        <v>26</v>
      </c>
      <c r="C18" s="83" t="s">
        <v>215</v>
      </c>
      <c r="D18" s="83" t="s">
        <v>27</v>
      </c>
      <c r="E18" s="83" t="s">
        <v>218</v>
      </c>
      <c r="I18" s="99">
        <v>45833.480347222219</v>
      </c>
      <c r="J18">
        <v>26</v>
      </c>
      <c r="K18" t="s">
        <v>215</v>
      </c>
      <c r="L18" t="s">
        <v>27</v>
      </c>
      <c r="M18" t="s">
        <v>218</v>
      </c>
      <c r="N18" t="s">
        <v>643</v>
      </c>
      <c r="R18" s="176">
        <v>88</v>
      </c>
      <c r="S18" s="177" t="s">
        <v>332</v>
      </c>
      <c r="T18" s="178" t="s">
        <v>333</v>
      </c>
      <c r="U18" s="178"/>
      <c r="V18" s="170">
        <v>45358</v>
      </c>
      <c r="W18" s="185"/>
      <c r="X18" s="179">
        <v>515</v>
      </c>
      <c r="Y18" s="177" t="s">
        <v>334</v>
      </c>
      <c r="Z18" s="186">
        <v>0</v>
      </c>
      <c r="AA18" s="186"/>
      <c r="AB18" s="185"/>
      <c r="AC18" s="177" t="s">
        <v>134</v>
      </c>
      <c r="AD18" s="109">
        <v>839</v>
      </c>
      <c r="AE18" s="170" t="s">
        <v>17</v>
      </c>
      <c r="AF18" s="193" t="s">
        <v>967</v>
      </c>
      <c r="AG18" s="170" t="s">
        <v>68</v>
      </c>
      <c r="AH18" s="181" t="s">
        <v>30</v>
      </c>
      <c r="AI18" s="181" t="s">
        <v>336</v>
      </c>
      <c r="AJ18" s="170" t="s">
        <v>20</v>
      </c>
      <c r="AK18" s="181" t="s">
        <v>183</v>
      </c>
      <c r="AL18" s="177">
        <v>60879</v>
      </c>
      <c r="AM18" s="184" t="s">
        <v>337</v>
      </c>
      <c r="AN18" s="185"/>
      <c r="AO18" s="156" t="s">
        <v>68</v>
      </c>
      <c r="AP18" s="188"/>
      <c r="AQ18" s="156"/>
      <c r="AR18" s="172">
        <v>45900</v>
      </c>
    </row>
    <row r="19" spans="1:44" ht="45" x14ac:dyDescent="0.25">
      <c r="A19" s="84">
        <v>45833.480347222219</v>
      </c>
      <c r="B19" s="83">
        <v>27</v>
      </c>
      <c r="C19" s="83" t="s">
        <v>125</v>
      </c>
      <c r="D19" s="83" t="s">
        <v>21</v>
      </c>
      <c r="E19" s="83" t="s">
        <v>127</v>
      </c>
      <c r="I19" s="99">
        <v>45833.480347222219</v>
      </c>
      <c r="J19">
        <v>27</v>
      </c>
      <c r="K19" t="s">
        <v>125</v>
      </c>
      <c r="L19" t="s">
        <v>21</v>
      </c>
      <c r="M19" t="s">
        <v>127</v>
      </c>
      <c r="N19" t="s">
        <v>644</v>
      </c>
      <c r="R19" s="194">
        <v>89</v>
      </c>
      <c r="S19" s="195" t="s">
        <v>395</v>
      </c>
      <c r="T19" s="196" t="s">
        <v>396</v>
      </c>
      <c r="U19" s="196"/>
      <c r="V19" s="197">
        <v>45257</v>
      </c>
      <c r="W19" s="198"/>
      <c r="X19" s="199">
        <v>616</v>
      </c>
      <c r="Y19" s="197"/>
      <c r="Z19" s="200"/>
      <c r="AA19" s="200"/>
      <c r="AB19" s="198"/>
      <c r="AC19" s="197" t="s">
        <v>134</v>
      </c>
      <c r="AD19" s="195">
        <v>674</v>
      </c>
      <c r="AE19" s="197" t="s">
        <v>17</v>
      </c>
      <c r="AF19" s="201" t="s">
        <v>938</v>
      </c>
      <c r="AG19" s="197" t="s">
        <v>68</v>
      </c>
      <c r="AH19" s="202" t="s">
        <v>30</v>
      </c>
      <c r="AI19" s="202" t="s">
        <v>263</v>
      </c>
      <c r="AJ19" s="197" t="s">
        <v>20</v>
      </c>
      <c r="AK19" s="202" t="s">
        <v>70</v>
      </c>
      <c r="AL19" s="195">
        <v>60870</v>
      </c>
      <c r="AM19" s="203" t="s">
        <v>397</v>
      </c>
      <c r="AN19" s="198"/>
      <c r="AO19" s="155" t="s">
        <v>68</v>
      </c>
      <c r="AP19" s="204"/>
      <c r="AQ19" s="155"/>
      <c r="AR19" s="175">
        <v>45900</v>
      </c>
    </row>
    <row r="20" spans="1:44" ht="60" x14ac:dyDescent="0.25">
      <c r="A20" s="84">
        <v>45833.480347222219</v>
      </c>
      <c r="B20" s="83">
        <v>28</v>
      </c>
      <c r="C20" s="83" t="s">
        <v>132</v>
      </c>
      <c r="D20" s="83" t="s">
        <v>31</v>
      </c>
      <c r="E20" s="83" t="s">
        <v>135</v>
      </c>
      <c r="I20" s="99">
        <v>45833.480347222219</v>
      </c>
      <c r="J20">
        <v>28</v>
      </c>
      <c r="K20" t="s">
        <v>132</v>
      </c>
      <c r="L20" t="s">
        <v>31</v>
      </c>
      <c r="M20" t="s">
        <v>135</v>
      </c>
      <c r="N20" t="s">
        <v>645</v>
      </c>
      <c r="R20" s="205">
        <v>90</v>
      </c>
      <c r="S20" s="206" t="s">
        <v>1019</v>
      </c>
      <c r="T20" s="207" t="s">
        <v>1022</v>
      </c>
      <c r="U20" s="207" t="s">
        <v>1021</v>
      </c>
      <c r="V20" s="208">
        <v>45867</v>
      </c>
      <c r="W20" s="209"/>
      <c r="X20" s="210">
        <v>6</v>
      </c>
      <c r="Y20" s="211" t="s">
        <v>8</v>
      </c>
      <c r="Z20" s="212"/>
      <c r="AA20" s="212"/>
      <c r="AB20" s="209"/>
      <c r="AC20" s="209"/>
      <c r="AD20" s="213"/>
      <c r="AE20" s="211" t="s">
        <v>17</v>
      </c>
      <c r="AF20" s="213" t="s">
        <v>1026</v>
      </c>
      <c r="AG20" s="211" t="s">
        <v>68</v>
      </c>
      <c r="AH20" s="214" t="s">
        <v>31</v>
      </c>
      <c r="AI20" s="214" t="s">
        <v>283</v>
      </c>
      <c r="AJ20" s="211" t="s">
        <v>20</v>
      </c>
      <c r="AK20" s="214" t="s">
        <v>1027</v>
      </c>
      <c r="AL20" s="206">
        <v>60988</v>
      </c>
      <c r="AM20" s="215" t="s">
        <v>1020</v>
      </c>
      <c r="AN20" s="209"/>
      <c r="AO20" s="156" t="s">
        <v>1010</v>
      </c>
      <c r="AP20" s="216"/>
      <c r="AQ20" s="156"/>
      <c r="AR20" s="172">
        <v>45991</v>
      </c>
    </row>
    <row r="21" spans="1:44" ht="30" x14ac:dyDescent="0.25">
      <c r="A21" s="84">
        <v>45833.480358796296</v>
      </c>
      <c r="B21" s="83">
        <v>29</v>
      </c>
      <c r="C21" s="83" t="s">
        <v>137</v>
      </c>
      <c r="D21" s="83" t="s">
        <v>55</v>
      </c>
      <c r="E21" s="83" t="s">
        <v>84</v>
      </c>
      <c r="I21" s="99">
        <v>45833.480358796296</v>
      </c>
      <c r="J21">
        <v>29</v>
      </c>
      <c r="K21" t="s">
        <v>137</v>
      </c>
      <c r="L21" t="s">
        <v>55</v>
      </c>
      <c r="M21" t="s">
        <v>84</v>
      </c>
      <c r="N21" t="s">
        <v>646</v>
      </c>
      <c r="R21" s="217">
        <v>91</v>
      </c>
      <c r="S21" s="218" t="s">
        <v>314</v>
      </c>
      <c r="T21" s="219" t="s">
        <v>315</v>
      </c>
      <c r="U21" s="219" t="s">
        <v>1006</v>
      </c>
      <c r="V21" s="220">
        <v>45772</v>
      </c>
      <c r="W21" s="221"/>
      <c r="X21" s="222">
        <v>101</v>
      </c>
      <c r="Y21" s="223"/>
      <c r="Z21" s="224"/>
      <c r="AA21" s="224"/>
      <c r="AB21" s="221"/>
      <c r="AC21" s="223" t="s">
        <v>134</v>
      </c>
      <c r="AD21" s="218" t="s">
        <v>946</v>
      </c>
      <c r="AE21" s="223" t="s">
        <v>17</v>
      </c>
      <c r="AF21" s="225" t="s">
        <v>965</v>
      </c>
      <c r="AG21" s="223" t="s">
        <v>68</v>
      </c>
      <c r="AH21" s="226" t="s">
        <v>31</v>
      </c>
      <c r="AI21" s="226" t="s">
        <v>283</v>
      </c>
      <c r="AJ21" s="223" t="s">
        <v>20</v>
      </c>
      <c r="AK21" s="92" t="s">
        <v>1027</v>
      </c>
      <c r="AL21" s="218">
        <v>60967</v>
      </c>
      <c r="AM21" s="227" t="s">
        <v>317</v>
      </c>
      <c r="AN21" s="221"/>
      <c r="AO21" s="228" t="s">
        <v>68</v>
      </c>
      <c r="AP21" s="229"/>
      <c r="AQ21" s="228"/>
      <c r="AR21" s="230">
        <v>45879</v>
      </c>
    </row>
    <row r="22" spans="1:44" ht="30" x14ac:dyDescent="0.25">
      <c r="A22" s="84">
        <v>45833.480358796296</v>
      </c>
      <c r="B22" s="83">
        <v>30</v>
      </c>
      <c r="C22" s="83" t="s">
        <v>139</v>
      </c>
      <c r="D22" s="83" t="s">
        <v>55</v>
      </c>
      <c r="E22" s="83" t="s">
        <v>84</v>
      </c>
      <c r="I22" s="99">
        <v>45833.480358796296</v>
      </c>
      <c r="J22">
        <v>30</v>
      </c>
      <c r="K22" t="s">
        <v>139</v>
      </c>
      <c r="L22" t="s">
        <v>55</v>
      </c>
      <c r="M22" t="s">
        <v>84</v>
      </c>
      <c r="N22" t="s">
        <v>647</v>
      </c>
    </row>
    <row r="23" spans="1:44" ht="45" x14ac:dyDescent="0.25">
      <c r="A23" s="84">
        <v>45833.480358796296</v>
      </c>
      <c r="B23" s="83">
        <v>31</v>
      </c>
      <c r="C23" s="83" t="s">
        <v>141</v>
      </c>
      <c r="D23" s="83" t="s">
        <v>21</v>
      </c>
      <c r="E23" s="83" t="s">
        <v>585</v>
      </c>
      <c r="I23" s="99">
        <v>45833.480358796296</v>
      </c>
      <c r="J23">
        <v>31</v>
      </c>
      <c r="K23" t="s">
        <v>141</v>
      </c>
      <c r="L23" t="s">
        <v>21</v>
      </c>
      <c r="M23" t="s">
        <v>585</v>
      </c>
      <c r="N23" t="s">
        <v>648</v>
      </c>
    </row>
    <row r="24" spans="1:44" ht="30" x14ac:dyDescent="0.25">
      <c r="A24" s="84">
        <v>45833.480358796296</v>
      </c>
      <c r="B24" s="83">
        <v>32</v>
      </c>
      <c r="C24" s="83" t="s">
        <v>144</v>
      </c>
      <c r="D24" s="83" t="s">
        <v>21</v>
      </c>
      <c r="E24" s="83" t="s">
        <v>84</v>
      </c>
      <c r="I24" s="99">
        <v>45833.480358796296</v>
      </c>
      <c r="J24">
        <v>32</v>
      </c>
      <c r="K24" t="s">
        <v>144</v>
      </c>
      <c r="L24" t="s">
        <v>21</v>
      </c>
      <c r="M24" t="s">
        <v>84</v>
      </c>
      <c r="N24" t="s">
        <v>649</v>
      </c>
    </row>
    <row r="25" spans="1:44" ht="60" x14ac:dyDescent="0.25">
      <c r="A25" s="84">
        <v>45833.480358796296</v>
      </c>
      <c r="B25" s="83">
        <v>33</v>
      </c>
      <c r="C25" s="83" t="s">
        <v>148</v>
      </c>
      <c r="D25" s="83" t="s">
        <v>21</v>
      </c>
      <c r="E25" s="83" t="s">
        <v>150</v>
      </c>
      <c r="I25" s="99">
        <v>45833.480358796296</v>
      </c>
      <c r="J25">
        <v>33</v>
      </c>
      <c r="K25" t="s">
        <v>148</v>
      </c>
      <c r="L25" t="s">
        <v>21</v>
      </c>
      <c r="M25" t="s">
        <v>150</v>
      </c>
      <c r="N25" t="s">
        <v>650</v>
      </c>
    </row>
    <row r="26" spans="1:44" ht="60" x14ac:dyDescent="0.25">
      <c r="A26" s="84">
        <v>45833.480358796296</v>
      </c>
      <c r="B26" s="83">
        <v>34</v>
      </c>
      <c r="C26" s="83" t="s">
        <v>151</v>
      </c>
      <c r="D26" s="83" t="s">
        <v>21</v>
      </c>
      <c r="E26" s="83" t="s">
        <v>153</v>
      </c>
      <c r="I26" s="99">
        <v>45833.480358796296</v>
      </c>
      <c r="J26">
        <v>34</v>
      </c>
      <c r="K26" t="s">
        <v>151</v>
      </c>
      <c r="L26" t="s">
        <v>21</v>
      </c>
      <c r="M26" t="s">
        <v>153</v>
      </c>
      <c r="N26" t="s">
        <v>651</v>
      </c>
    </row>
    <row r="27" spans="1:44" ht="45" x14ac:dyDescent="0.25">
      <c r="A27" s="84">
        <v>45833.480358796296</v>
      </c>
      <c r="B27" s="83">
        <v>35</v>
      </c>
      <c r="C27" s="83" t="s">
        <v>154</v>
      </c>
      <c r="D27" s="83" t="s">
        <v>21</v>
      </c>
      <c r="E27" s="83" t="s">
        <v>156</v>
      </c>
      <c r="I27" s="99">
        <v>45833.480358796296</v>
      </c>
      <c r="J27">
        <v>35</v>
      </c>
      <c r="K27" t="s">
        <v>154</v>
      </c>
      <c r="L27" t="s">
        <v>21</v>
      </c>
      <c r="M27" t="s">
        <v>156</v>
      </c>
      <c r="N27" t="s">
        <v>652</v>
      </c>
    </row>
    <row r="28" spans="1:44" ht="30" x14ac:dyDescent="0.25">
      <c r="A28" s="84">
        <v>45833.480358796296</v>
      </c>
      <c r="B28" s="83">
        <v>36</v>
      </c>
      <c r="C28" s="83" t="s">
        <v>158</v>
      </c>
      <c r="D28" s="83" t="s">
        <v>55</v>
      </c>
      <c r="E28" s="83" t="s">
        <v>84</v>
      </c>
      <c r="I28" s="99">
        <v>45833.480358796296</v>
      </c>
      <c r="J28">
        <v>36</v>
      </c>
      <c r="K28" t="s">
        <v>158</v>
      </c>
      <c r="L28" t="s">
        <v>55</v>
      </c>
      <c r="M28" t="s">
        <v>84</v>
      </c>
      <c r="N28" t="s">
        <v>653</v>
      </c>
    </row>
    <row r="29" spans="1:44" ht="30" x14ac:dyDescent="0.25">
      <c r="A29" s="84">
        <v>45833.480358796296</v>
      </c>
      <c r="B29" s="83">
        <v>37</v>
      </c>
      <c r="C29" s="83" t="s">
        <v>160</v>
      </c>
      <c r="D29" s="83" t="s">
        <v>55</v>
      </c>
      <c r="E29" s="83" t="s">
        <v>84</v>
      </c>
      <c r="I29" s="99">
        <v>45833.480358796296</v>
      </c>
      <c r="J29">
        <v>37</v>
      </c>
      <c r="K29" t="s">
        <v>160</v>
      </c>
      <c r="L29" t="s">
        <v>55</v>
      </c>
      <c r="M29" t="s">
        <v>84</v>
      </c>
      <c r="N29" t="s">
        <v>654</v>
      </c>
    </row>
    <row r="30" spans="1:44" ht="30" x14ac:dyDescent="0.25">
      <c r="A30" s="84">
        <v>45833.480358796296</v>
      </c>
      <c r="B30" s="83">
        <v>38</v>
      </c>
      <c r="C30" s="83" t="s">
        <v>163</v>
      </c>
      <c r="D30" s="83" t="s">
        <v>55</v>
      </c>
      <c r="E30" s="83" t="s">
        <v>84</v>
      </c>
      <c r="I30" s="99">
        <v>45833.480358796296</v>
      </c>
      <c r="J30">
        <v>38</v>
      </c>
      <c r="K30" t="s">
        <v>163</v>
      </c>
      <c r="L30" t="s">
        <v>55</v>
      </c>
      <c r="M30" t="s">
        <v>84</v>
      </c>
      <c r="N30" t="s">
        <v>655</v>
      </c>
    </row>
    <row r="31" spans="1:44" ht="30" x14ac:dyDescent="0.25">
      <c r="A31" s="84">
        <v>45833.480370370373</v>
      </c>
      <c r="B31" s="83">
        <v>39</v>
      </c>
      <c r="C31" s="83" t="s">
        <v>166</v>
      </c>
      <c r="D31" s="83" t="s">
        <v>55</v>
      </c>
      <c r="E31" s="83" t="s">
        <v>168</v>
      </c>
      <c r="I31" s="99">
        <v>45833.480370370373</v>
      </c>
      <c r="J31">
        <v>39</v>
      </c>
      <c r="K31" t="s">
        <v>166</v>
      </c>
      <c r="L31" t="s">
        <v>55</v>
      </c>
      <c r="M31" t="s">
        <v>168</v>
      </c>
      <c r="N31" t="s">
        <v>656</v>
      </c>
    </row>
    <row r="32" spans="1:44" ht="120" x14ac:dyDescent="0.25">
      <c r="A32" s="84">
        <v>45833.480370370373</v>
      </c>
      <c r="B32" s="83">
        <v>40</v>
      </c>
      <c r="C32" s="83" t="s">
        <v>169</v>
      </c>
      <c r="D32" s="83" t="s">
        <v>55</v>
      </c>
      <c r="E32" s="83" t="s">
        <v>171</v>
      </c>
      <c r="I32" s="99">
        <v>45833.480370370373</v>
      </c>
      <c r="J32">
        <v>40</v>
      </c>
      <c r="K32" t="s">
        <v>169</v>
      </c>
      <c r="L32" t="s">
        <v>55</v>
      </c>
      <c r="M32" t="s">
        <v>171</v>
      </c>
      <c r="N32" t="s">
        <v>657</v>
      </c>
    </row>
    <row r="33" spans="1:14" ht="30" x14ac:dyDescent="0.25">
      <c r="A33" s="84">
        <v>45833.480370370373</v>
      </c>
      <c r="B33" s="83">
        <v>41</v>
      </c>
      <c r="C33" s="83" t="s">
        <v>175</v>
      </c>
      <c r="D33" s="83" t="s">
        <v>21</v>
      </c>
      <c r="E33" s="83" t="s">
        <v>177</v>
      </c>
      <c r="I33" s="99">
        <v>45833.480370370373</v>
      </c>
      <c r="J33">
        <v>41</v>
      </c>
      <c r="K33" t="s">
        <v>175</v>
      </c>
      <c r="L33" t="s">
        <v>21</v>
      </c>
      <c r="M33" t="s">
        <v>177</v>
      </c>
      <c r="N33" t="s">
        <v>658</v>
      </c>
    </row>
    <row r="34" spans="1:14" ht="30" x14ac:dyDescent="0.25">
      <c r="A34" s="84">
        <v>45833.480370370373</v>
      </c>
      <c r="B34" s="83">
        <v>42</v>
      </c>
      <c r="C34" s="83" t="s">
        <v>179</v>
      </c>
      <c r="D34" s="83" t="s">
        <v>26</v>
      </c>
      <c r="E34" s="83" t="s">
        <v>181</v>
      </c>
      <c r="I34" s="99">
        <v>45833.480370370373</v>
      </c>
      <c r="J34">
        <v>42</v>
      </c>
      <c r="K34" t="s">
        <v>179</v>
      </c>
      <c r="L34" t="s">
        <v>26</v>
      </c>
      <c r="M34" t="s">
        <v>181</v>
      </c>
      <c r="N34" t="s">
        <v>659</v>
      </c>
    </row>
    <row r="35" spans="1:14" ht="45" x14ac:dyDescent="0.25">
      <c r="A35" s="84">
        <v>45833.480370370373</v>
      </c>
      <c r="B35" s="83">
        <v>43</v>
      </c>
      <c r="C35" s="83" t="s">
        <v>185</v>
      </c>
      <c r="D35" s="83" t="s">
        <v>21</v>
      </c>
      <c r="E35" s="83" t="s">
        <v>586</v>
      </c>
      <c r="I35" s="99">
        <v>45833.480370370373</v>
      </c>
      <c r="J35">
        <v>43</v>
      </c>
      <c r="K35" t="s">
        <v>185</v>
      </c>
      <c r="L35" t="s">
        <v>21</v>
      </c>
      <c r="M35" t="s">
        <v>586</v>
      </c>
      <c r="N35" t="s">
        <v>660</v>
      </c>
    </row>
    <row r="36" spans="1:14" ht="30" x14ac:dyDescent="0.25">
      <c r="A36" s="84">
        <v>45833.480370370373</v>
      </c>
      <c r="B36" s="83">
        <v>44</v>
      </c>
      <c r="C36" s="83" t="s">
        <v>190</v>
      </c>
      <c r="D36" s="83" t="s">
        <v>55</v>
      </c>
      <c r="E36" s="83" t="s">
        <v>84</v>
      </c>
      <c r="I36" s="99">
        <v>45833.480370370373</v>
      </c>
      <c r="J36">
        <v>44</v>
      </c>
      <c r="K36" t="s">
        <v>190</v>
      </c>
      <c r="L36" t="s">
        <v>55</v>
      </c>
      <c r="M36" t="s">
        <v>84</v>
      </c>
      <c r="N36" t="s">
        <v>661</v>
      </c>
    </row>
    <row r="37" spans="1:14" ht="30" x14ac:dyDescent="0.25">
      <c r="A37" s="84">
        <v>45833.480370370373</v>
      </c>
      <c r="B37" s="83">
        <v>45</v>
      </c>
      <c r="C37" s="83" t="s">
        <v>328</v>
      </c>
      <c r="D37" s="83" t="s">
        <v>30</v>
      </c>
      <c r="E37" s="83"/>
      <c r="I37" s="99">
        <v>45833.480370370373</v>
      </c>
      <c r="J37">
        <v>45</v>
      </c>
      <c r="K37" t="s">
        <v>328</v>
      </c>
      <c r="L37" t="s">
        <v>30</v>
      </c>
      <c r="N37" t="s">
        <v>662</v>
      </c>
    </row>
    <row r="38" spans="1:14" ht="30" x14ac:dyDescent="0.25">
      <c r="A38" s="84">
        <v>45833.480370370373</v>
      </c>
      <c r="B38" s="83">
        <v>46</v>
      </c>
      <c r="C38" s="83" t="s">
        <v>198</v>
      </c>
      <c r="D38" s="83" t="s">
        <v>21</v>
      </c>
      <c r="E38" s="83" t="s">
        <v>200</v>
      </c>
      <c r="I38" s="99">
        <v>45833.480370370373</v>
      </c>
      <c r="J38">
        <v>46</v>
      </c>
      <c r="K38" t="s">
        <v>198</v>
      </c>
      <c r="L38" t="s">
        <v>21</v>
      </c>
      <c r="M38" t="s">
        <v>200</v>
      </c>
      <c r="N38" t="s">
        <v>663</v>
      </c>
    </row>
    <row r="39" spans="1:14" ht="30" x14ac:dyDescent="0.25">
      <c r="A39" s="84">
        <v>45833.480381944442</v>
      </c>
      <c r="B39" s="83">
        <v>47</v>
      </c>
      <c r="C39" s="83" t="s">
        <v>201</v>
      </c>
      <c r="D39" s="83" t="s">
        <v>27</v>
      </c>
      <c r="E39" s="83" t="s">
        <v>203</v>
      </c>
      <c r="I39" s="99">
        <v>45833.480381944442</v>
      </c>
      <c r="J39">
        <v>47</v>
      </c>
      <c r="K39" t="s">
        <v>201</v>
      </c>
      <c r="L39" t="s">
        <v>27</v>
      </c>
      <c r="M39" t="s">
        <v>203</v>
      </c>
      <c r="N39" t="s">
        <v>664</v>
      </c>
    </row>
    <row r="40" spans="1:14" ht="45" x14ac:dyDescent="0.25">
      <c r="A40" s="84">
        <v>45833.480381944442</v>
      </c>
      <c r="B40" s="83">
        <v>48</v>
      </c>
      <c r="C40" s="83" t="s">
        <v>205</v>
      </c>
      <c r="D40" s="83" t="s">
        <v>55</v>
      </c>
      <c r="E40" s="83" t="s">
        <v>208</v>
      </c>
      <c r="I40" s="99">
        <v>45833.480381944442</v>
      </c>
      <c r="J40">
        <v>48</v>
      </c>
      <c r="K40" t="s">
        <v>205</v>
      </c>
      <c r="L40" t="s">
        <v>55</v>
      </c>
      <c r="M40" t="s">
        <v>208</v>
      </c>
      <c r="N40" t="s">
        <v>665</v>
      </c>
    </row>
    <row r="41" spans="1:14" ht="30" x14ac:dyDescent="0.25">
      <c r="A41" s="84">
        <v>45833.480381944442</v>
      </c>
      <c r="B41" s="83">
        <v>49</v>
      </c>
      <c r="C41" s="83" t="s">
        <v>211</v>
      </c>
      <c r="D41" s="83" t="s">
        <v>27</v>
      </c>
      <c r="E41" s="83" t="s">
        <v>213</v>
      </c>
      <c r="I41" s="99">
        <v>45833.480381944442</v>
      </c>
      <c r="J41">
        <v>49</v>
      </c>
      <c r="K41" t="s">
        <v>211</v>
      </c>
      <c r="L41" t="s">
        <v>27</v>
      </c>
      <c r="M41" t="s">
        <v>213</v>
      </c>
      <c r="N41" t="s">
        <v>666</v>
      </c>
    </row>
    <row r="42" spans="1:14" ht="30" x14ac:dyDescent="0.25">
      <c r="A42" s="84">
        <v>45833.480381944442</v>
      </c>
      <c r="B42" s="83">
        <v>50</v>
      </c>
      <c r="C42" s="83" t="s">
        <v>220</v>
      </c>
      <c r="D42" s="83" t="s">
        <v>27</v>
      </c>
      <c r="E42" s="83" t="s">
        <v>222</v>
      </c>
      <c r="I42" s="99">
        <v>45833.480381944442</v>
      </c>
      <c r="J42">
        <v>50</v>
      </c>
      <c r="K42" t="s">
        <v>220</v>
      </c>
      <c r="L42" t="s">
        <v>27</v>
      </c>
      <c r="M42" t="s">
        <v>222</v>
      </c>
      <c r="N42" t="s">
        <v>667</v>
      </c>
    </row>
    <row r="43" spans="1:14" ht="30" x14ac:dyDescent="0.25">
      <c r="A43" s="84">
        <v>45833.480393518519</v>
      </c>
      <c r="B43" s="83">
        <v>51</v>
      </c>
      <c r="C43" s="83" t="s">
        <v>332</v>
      </c>
      <c r="D43" s="83" t="s">
        <v>30</v>
      </c>
      <c r="E43" s="83" t="s">
        <v>335</v>
      </c>
      <c r="I43" s="99">
        <v>45833.480393518519</v>
      </c>
      <c r="J43">
        <v>51</v>
      </c>
      <c r="K43" t="s">
        <v>332</v>
      </c>
      <c r="L43" t="s">
        <v>30</v>
      </c>
      <c r="M43" t="s">
        <v>335</v>
      </c>
      <c r="N43" t="s">
        <v>668</v>
      </c>
    </row>
    <row r="44" spans="1:14" ht="60" x14ac:dyDescent="0.25">
      <c r="A44" s="84">
        <v>45833.480393518519</v>
      </c>
      <c r="B44" s="83">
        <v>52</v>
      </c>
      <c r="C44" s="83" t="s">
        <v>295</v>
      </c>
      <c r="D44" s="83" t="s">
        <v>29</v>
      </c>
      <c r="E44" s="83" t="s">
        <v>297</v>
      </c>
      <c r="I44" s="99">
        <v>45833.480393518519</v>
      </c>
      <c r="J44">
        <v>52</v>
      </c>
      <c r="K44" t="s">
        <v>295</v>
      </c>
      <c r="L44" t="s">
        <v>29</v>
      </c>
      <c r="M44" t="s">
        <v>297</v>
      </c>
      <c r="N44" t="s">
        <v>669</v>
      </c>
    </row>
    <row r="45" spans="1:14" ht="30" x14ac:dyDescent="0.25">
      <c r="A45" s="84">
        <v>45833.480393518519</v>
      </c>
      <c r="B45" s="83">
        <v>53</v>
      </c>
      <c r="C45" s="83" t="s">
        <v>225</v>
      </c>
      <c r="D45" s="83" t="s">
        <v>27</v>
      </c>
      <c r="E45" s="83" t="s">
        <v>228</v>
      </c>
      <c r="I45" s="99">
        <v>45833.480393518519</v>
      </c>
      <c r="J45">
        <v>53</v>
      </c>
      <c r="K45" t="s">
        <v>225</v>
      </c>
      <c r="L45" t="s">
        <v>27</v>
      </c>
      <c r="M45" t="s">
        <v>228</v>
      </c>
      <c r="N45" t="s">
        <v>670</v>
      </c>
    </row>
    <row r="46" spans="1:14" ht="60" x14ac:dyDescent="0.25">
      <c r="A46" s="84">
        <v>45833.480405092596</v>
      </c>
      <c r="B46" s="83">
        <v>54</v>
      </c>
      <c r="C46" s="83" t="s">
        <v>357</v>
      </c>
      <c r="D46" s="83" t="s">
        <v>30</v>
      </c>
      <c r="E46" s="83" t="s">
        <v>359</v>
      </c>
      <c r="I46" s="99">
        <v>45833.480405092596</v>
      </c>
      <c r="J46">
        <v>54</v>
      </c>
      <c r="K46" t="s">
        <v>357</v>
      </c>
      <c r="L46" t="s">
        <v>30</v>
      </c>
      <c r="M46" t="s">
        <v>359</v>
      </c>
      <c r="N46" t="s">
        <v>671</v>
      </c>
    </row>
    <row r="47" spans="1:14" ht="30" x14ac:dyDescent="0.25">
      <c r="A47" s="84">
        <v>45833.480405092596</v>
      </c>
      <c r="B47" s="83">
        <v>55</v>
      </c>
      <c r="C47" s="83" t="s">
        <v>241</v>
      </c>
      <c r="D47" s="83" t="s">
        <v>31</v>
      </c>
      <c r="E47" s="83" t="s">
        <v>243</v>
      </c>
      <c r="I47" s="99">
        <v>45833.480405092596</v>
      </c>
      <c r="J47">
        <v>55</v>
      </c>
      <c r="K47" t="s">
        <v>241</v>
      </c>
      <c r="L47" t="s">
        <v>31</v>
      </c>
      <c r="M47" t="s">
        <v>243</v>
      </c>
      <c r="N47" t="s">
        <v>672</v>
      </c>
    </row>
    <row r="48" spans="1:14" ht="45" x14ac:dyDescent="0.25">
      <c r="A48" s="84">
        <v>45833.480405092596</v>
      </c>
      <c r="B48" s="83">
        <v>56</v>
      </c>
      <c r="C48" s="83" t="s">
        <v>246</v>
      </c>
      <c r="D48" s="83" t="s">
        <v>31</v>
      </c>
      <c r="E48" s="83" t="s">
        <v>248</v>
      </c>
      <c r="I48" s="99">
        <v>45833.480405092596</v>
      </c>
      <c r="J48">
        <v>56</v>
      </c>
      <c r="K48" t="s">
        <v>246</v>
      </c>
      <c r="L48" t="s">
        <v>31</v>
      </c>
      <c r="M48" t="s">
        <v>248</v>
      </c>
      <c r="N48" t="s">
        <v>673</v>
      </c>
    </row>
    <row r="49" spans="1:14" ht="45" x14ac:dyDescent="0.25">
      <c r="A49" s="84">
        <v>45833.480405092596</v>
      </c>
      <c r="B49" s="83">
        <v>57</v>
      </c>
      <c r="C49" s="83" t="s">
        <v>250</v>
      </c>
      <c r="D49" s="83" t="s">
        <v>28</v>
      </c>
      <c r="E49" s="83" t="s">
        <v>253</v>
      </c>
      <c r="I49" s="99">
        <v>45833.480405092596</v>
      </c>
      <c r="J49">
        <v>57</v>
      </c>
      <c r="K49" t="s">
        <v>250</v>
      </c>
      <c r="L49" t="s">
        <v>28</v>
      </c>
      <c r="M49" t="s">
        <v>253</v>
      </c>
      <c r="N49" t="s">
        <v>674</v>
      </c>
    </row>
    <row r="50" spans="1:14" ht="150" x14ac:dyDescent="0.25">
      <c r="A50" s="84">
        <v>45833.480416666665</v>
      </c>
      <c r="B50" s="83">
        <v>58</v>
      </c>
      <c r="C50" s="83" t="s">
        <v>255</v>
      </c>
      <c r="D50" s="83" t="s">
        <v>28</v>
      </c>
      <c r="E50" s="83" t="s">
        <v>587</v>
      </c>
      <c r="I50" s="99">
        <v>45833.480416666665</v>
      </c>
      <c r="J50">
        <v>58</v>
      </c>
      <c r="K50" t="s">
        <v>255</v>
      </c>
      <c r="L50" t="s">
        <v>28</v>
      </c>
      <c r="M50" t="s">
        <v>587</v>
      </c>
      <c r="N50" t="s">
        <v>675</v>
      </c>
    </row>
    <row r="51" spans="1:14" ht="60" x14ac:dyDescent="0.25">
      <c r="A51" s="84">
        <v>45833.480416666665</v>
      </c>
      <c r="B51" s="83">
        <v>59</v>
      </c>
      <c r="C51" s="83" t="s">
        <v>92</v>
      </c>
      <c r="D51" s="83" t="s">
        <v>25</v>
      </c>
      <c r="E51" s="83" t="s">
        <v>94</v>
      </c>
      <c r="I51" s="99">
        <v>45833.480416666665</v>
      </c>
      <c r="J51">
        <v>59</v>
      </c>
      <c r="K51" t="s">
        <v>92</v>
      </c>
      <c r="L51" t="s">
        <v>25</v>
      </c>
      <c r="M51" t="s">
        <v>94</v>
      </c>
      <c r="N51" t="s">
        <v>676</v>
      </c>
    </row>
    <row r="52" spans="1:14" ht="60" x14ac:dyDescent="0.25">
      <c r="A52" s="84">
        <v>45833.480416666665</v>
      </c>
      <c r="B52" s="83">
        <v>60</v>
      </c>
      <c r="C52" s="83" t="s">
        <v>264</v>
      </c>
      <c r="D52" s="83" t="s">
        <v>21</v>
      </c>
      <c r="E52" s="83" t="s">
        <v>266</v>
      </c>
      <c r="I52" s="99">
        <v>45833.480416666665</v>
      </c>
      <c r="J52">
        <v>60</v>
      </c>
      <c r="K52" t="s">
        <v>264</v>
      </c>
      <c r="L52" t="s">
        <v>21</v>
      </c>
      <c r="M52" t="s">
        <v>266</v>
      </c>
      <c r="N52" t="s">
        <v>677</v>
      </c>
    </row>
    <row r="53" spans="1:14" ht="105" x14ac:dyDescent="0.25">
      <c r="A53" s="84">
        <v>45833.480416666665</v>
      </c>
      <c r="B53" s="83">
        <v>61</v>
      </c>
      <c r="C53" s="83" t="s">
        <v>267</v>
      </c>
      <c r="D53" s="83" t="s">
        <v>21</v>
      </c>
      <c r="E53" s="83" t="s">
        <v>269</v>
      </c>
      <c r="I53" s="99">
        <v>45833.480416666665</v>
      </c>
      <c r="J53">
        <v>61</v>
      </c>
      <c r="K53" t="s">
        <v>267</v>
      </c>
      <c r="L53" t="s">
        <v>21</v>
      </c>
      <c r="M53" t="s">
        <v>269</v>
      </c>
      <c r="N53" t="s">
        <v>678</v>
      </c>
    </row>
    <row r="54" spans="1:14" ht="135" x14ac:dyDescent="0.25">
      <c r="A54" s="84">
        <v>45833.480416666665</v>
      </c>
      <c r="B54" s="83">
        <v>62</v>
      </c>
      <c r="C54" s="83" t="s">
        <v>270</v>
      </c>
      <c r="D54" s="83" t="s">
        <v>25</v>
      </c>
      <c r="E54" s="83" t="s">
        <v>272</v>
      </c>
      <c r="I54" s="99">
        <v>45833.480416666665</v>
      </c>
      <c r="J54">
        <v>62</v>
      </c>
      <c r="K54" t="s">
        <v>270</v>
      </c>
      <c r="L54" t="s">
        <v>25</v>
      </c>
      <c r="M54" t="s">
        <v>272</v>
      </c>
      <c r="N54" t="s">
        <v>679</v>
      </c>
    </row>
    <row r="55" spans="1:14" ht="30" x14ac:dyDescent="0.25">
      <c r="A55" s="84">
        <v>45833.480416666665</v>
      </c>
      <c r="B55" s="83">
        <v>63</v>
      </c>
      <c r="C55" s="83" t="s">
        <v>273</v>
      </c>
      <c r="D55" s="83" t="s">
        <v>21</v>
      </c>
      <c r="E55" s="83" t="s">
        <v>275</v>
      </c>
      <c r="I55" s="99">
        <v>45833.480416666665</v>
      </c>
      <c r="J55">
        <v>63</v>
      </c>
      <c r="K55" t="s">
        <v>273</v>
      </c>
      <c r="L55" t="s">
        <v>21</v>
      </c>
      <c r="M55" t="s">
        <v>275</v>
      </c>
      <c r="N55" t="s">
        <v>680</v>
      </c>
    </row>
    <row r="56" spans="1:14" ht="60" x14ac:dyDescent="0.25">
      <c r="A56" s="84">
        <v>45833.480416666665</v>
      </c>
      <c r="B56" s="83">
        <v>64</v>
      </c>
      <c r="C56" s="83" t="s">
        <v>277</v>
      </c>
      <c r="D56" s="83" t="s">
        <v>21</v>
      </c>
      <c r="E56" s="83" t="s">
        <v>279</v>
      </c>
      <c r="I56" s="99">
        <v>45833.480416666665</v>
      </c>
      <c r="J56">
        <v>64</v>
      </c>
      <c r="K56" t="s">
        <v>277</v>
      </c>
      <c r="L56" t="s">
        <v>21</v>
      </c>
      <c r="M56" t="s">
        <v>279</v>
      </c>
      <c r="N56" t="s">
        <v>681</v>
      </c>
    </row>
    <row r="57" spans="1:14" ht="60" x14ac:dyDescent="0.25">
      <c r="A57" s="84">
        <v>45833.480428240742</v>
      </c>
      <c r="B57" s="83">
        <v>65</v>
      </c>
      <c r="C57" s="83" t="s">
        <v>230</v>
      </c>
      <c r="D57" s="83" t="s">
        <v>27</v>
      </c>
      <c r="E57" s="83" t="s">
        <v>232</v>
      </c>
      <c r="I57" s="99">
        <v>45833.480428240742</v>
      </c>
      <c r="J57">
        <v>65</v>
      </c>
      <c r="K57" t="s">
        <v>230</v>
      </c>
      <c r="L57" t="s">
        <v>27</v>
      </c>
      <c r="M57" t="s">
        <v>232</v>
      </c>
      <c r="N57" t="s">
        <v>682</v>
      </c>
    </row>
    <row r="58" spans="1:14" ht="75" x14ac:dyDescent="0.25">
      <c r="A58" s="84">
        <v>45833.480428240742</v>
      </c>
      <c r="B58" s="83">
        <v>66</v>
      </c>
      <c r="C58" s="83" t="s">
        <v>286</v>
      </c>
      <c r="D58" s="83" t="s">
        <v>21</v>
      </c>
      <c r="E58" s="83" t="s">
        <v>288</v>
      </c>
      <c r="I58" s="99">
        <v>45833.480428240742</v>
      </c>
      <c r="J58">
        <v>66</v>
      </c>
      <c r="K58" t="s">
        <v>286</v>
      </c>
      <c r="L58" t="s">
        <v>21</v>
      </c>
      <c r="M58" t="s">
        <v>288</v>
      </c>
      <c r="N58" t="s">
        <v>683</v>
      </c>
    </row>
    <row r="59" spans="1:14" ht="75" x14ac:dyDescent="0.25">
      <c r="A59" s="84">
        <v>45833.480428240742</v>
      </c>
      <c r="B59" s="83">
        <v>67</v>
      </c>
      <c r="C59" s="83" t="s">
        <v>290</v>
      </c>
      <c r="D59" s="83" t="s">
        <v>21</v>
      </c>
      <c r="E59" s="83" t="s">
        <v>292</v>
      </c>
      <c r="I59" s="99">
        <v>45833.480428240742</v>
      </c>
      <c r="J59">
        <v>67</v>
      </c>
      <c r="K59" t="s">
        <v>290</v>
      </c>
      <c r="L59" t="s">
        <v>21</v>
      </c>
      <c r="M59" t="s">
        <v>292</v>
      </c>
      <c r="N59" t="s">
        <v>684</v>
      </c>
    </row>
    <row r="60" spans="1:14" ht="60" x14ac:dyDescent="0.25">
      <c r="A60" s="84">
        <v>45833.480428240742</v>
      </c>
      <c r="B60" s="83">
        <v>68</v>
      </c>
      <c r="C60" s="83" t="s">
        <v>103</v>
      </c>
      <c r="D60" s="83" t="s">
        <v>25</v>
      </c>
      <c r="E60" s="83" t="s">
        <v>588</v>
      </c>
      <c r="I60" s="99">
        <v>45833.480428240742</v>
      </c>
      <c r="J60">
        <v>68</v>
      </c>
      <c r="K60" t="s">
        <v>103</v>
      </c>
      <c r="L60" t="s">
        <v>25</v>
      </c>
      <c r="M60" t="s">
        <v>588</v>
      </c>
      <c r="N60" t="s">
        <v>685</v>
      </c>
    </row>
    <row r="61" spans="1:14" ht="30" x14ac:dyDescent="0.25">
      <c r="A61" s="84">
        <v>45833.480428240742</v>
      </c>
      <c r="B61" s="83">
        <v>69</v>
      </c>
      <c r="C61" s="83" t="s">
        <v>299</v>
      </c>
      <c r="D61" s="83" t="s">
        <v>55</v>
      </c>
      <c r="E61" s="83" t="s">
        <v>301</v>
      </c>
      <c r="I61" s="99">
        <v>45833.480428240742</v>
      </c>
      <c r="J61">
        <v>69</v>
      </c>
      <c r="K61" t="s">
        <v>299</v>
      </c>
      <c r="L61" t="s">
        <v>55</v>
      </c>
      <c r="M61" t="s">
        <v>301</v>
      </c>
      <c r="N61" t="s">
        <v>686</v>
      </c>
    </row>
    <row r="62" spans="1:14" ht="30" x14ac:dyDescent="0.25">
      <c r="A62" s="84">
        <v>45833.480428240742</v>
      </c>
      <c r="B62" s="83">
        <v>70</v>
      </c>
      <c r="C62" s="83" t="s">
        <v>302</v>
      </c>
      <c r="D62" s="83" t="s">
        <v>55</v>
      </c>
      <c r="E62" s="83" t="s">
        <v>304</v>
      </c>
      <c r="I62" s="99">
        <v>45833.480428240742</v>
      </c>
      <c r="J62">
        <v>70</v>
      </c>
      <c r="K62" t="s">
        <v>302</v>
      </c>
      <c r="L62" t="s">
        <v>55</v>
      </c>
      <c r="M62" t="s">
        <v>304</v>
      </c>
      <c r="N62" t="s">
        <v>687</v>
      </c>
    </row>
    <row r="63" spans="1:14" ht="30" x14ac:dyDescent="0.25">
      <c r="A63" s="84">
        <v>45833.480428240742</v>
      </c>
      <c r="B63" s="83">
        <v>71</v>
      </c>
      <c r="C63" s="83" t="s">
        <v>305</v>
      </c>
      <c r="D63" s="83" t="s">
        <v>55</v>
      </c>
      <c r="E63" s="83" t="s">
        <v>307</v>
      </c>
      <c r="I63" s="99">
        <v>45833.480428240742</v>
      </c>
      <c r="J63">
        <v>71</v>
      </c>
      <c r="K63" t="s">
        <v>305</v>
      </c>
      <c r="L63" t="s">
        <v>55</v>
      </c>
      <c r="M63" t="s">
        <v>307</v>
      </c>
      <c r="N63" t="s">
        <v>688</v>
      </c>
    </row>
    <row r="64" spans="1:14" ht="45" x14ac:dyDescent="0.25">
      <c r="A64" s="84">
        <v>45833.480428240742</v>
      </c>
      <c r="B64" s="83">
        <v>72</v>
      </c>
      <c r="C64" s="83" t="s">
        <v>308</v>
      </c>
      <c r="D64" s="83" t="s">
        <v>55</v>
      </c>
      <c r="E64" s="83" t="s">
        <v>310</v>
      </c>
      <c r="I64" s="99">
        <v>45833.480428240742</v>
      </c>
      <c r="J64">
        <v>72</v>
      </c>
      <c r="K64" t="s">
        <v>308</v>
      </c>
      <c r="L64" t="s">
        <v>55</v>
      </c>
      <c r="M64" t="s">
        <v>310</v>
      </c>
      <c r="N64" t="s">
        <v>689</v>
      </c>
    </row>
    <row r="65" spans="1:14" ht="30" x14ac:dyDescent="0.25">
      <c r="A65" s="84">
        <v>45833.480428240742</v>
      </c>
      <c r="B65" s="83">
        <v>73</v>
      </c>
      <c r="C65" s="83" t="s">
        <v>311</v>
      </c>
      <c r="D65" s="83" t="s">
        <v>55</v>
      </c>
      <c r="E65" s="83" t="s">
        <v>313</v>
      </c>
      <c r="I65" s="99">
        <v>45833.480428240742</v>
      </c>
      <c r="J65">
        <v>73</v>
      </c>
      <c r="K65" t="s">
        <v>311</v>
      </c>
      <c r="L65" t="s">
        <v>55</v>
      </c>
      <c r="M65" t="s">
        <v>313</v>
      </c>
      <c r="N65" t="s">
        <v>690</v>
      </c>
    </row>
    <row r="66" spans="1:14" ht="30" x14ac:dyDescent="0.25">
      <c r="A66" s="84">
        <v>45833.480439814812</v>
      </c>
      <c r="B66" s="83">
        <v>74</v>
      </c>
      <c r="C66" s="83" t="s">
        <v>314</v>
      </c>
      <c r="D66" s="83" t="s">
        <v>29</v>
      </c>
      <c r="E66" s="83" t="s">
        <v>316</v>
      </c>
      <c r="I66" s="99">
        <v>45833.480439814812</v>
      </c>
      <c r="J66">
        <v>74</v>
      </c>
      <c r="K66" t="s">
        <v>314</v>
      </c>
      <c r="L66" t="s">
        <v>29</v>
      </c>
      <c r="M66" t="s">
        <v>316</v>
      </c>
      <c r="N66" t="s">
        <v>691</v>
      </c>
    </row>
    <row r="67" spans="1:14" ht="30" x14ac:dyDescent="0.25">
      <c r="A67" s="84">
        <v>45833.480439814812</v>
      </c>
      <c r="B67" s="83">
        <v>75</v>
      </c>
      <c r="C67" s="83" t="s">
        <v>372</v>
      </c>
      <c r="D67" s="83" t="s">
        <v>30</v>
      </c>
      <c r="E67" s="83" t="s">
        <v>589</v>
      </c>
      <c r="I67" s="99">
        <v>45833.480439814812</v>
      </c>
      <c r="J67">
        <v>75</v>
      </c>
      <c r="K67" t="s">
        <v>372</v>
      </c>
      <c r="L67" t="s">
        <v>30</v>
      </c>
      <c r="M67" t="s">
        <v>589</v>
      </c>
      <c r="N67" t="s">
        <v>692</v>
      </c>
    </row>
    <row r="68" spans="1:14" ht="30" x14ac:dyDescent="0.25">
      <c r="A68" s="84">
        <v>45833.480439814812</v>
      </c>
      <c r="B68" s="83">
        <v>76</v>
      </c>
      <c r="C68" s="83" t="s">
        <v>382</v>
      </c>
      <c r="D68" s="83" t="s">
        <v>30</v>
      </c>
      <c r="E68" s="83" t="s">
        <v>384</v>
      </c>
      <c r="I68" s="99">
        <v>45833.480439814812</v>
      </c>
      <c r="J68">
        <v>76</v>
      </c>
      <c r="K68" t="s">
        <v>382</v>
      </c>
      <c r="L68" t="s">
        <v>30</v>
      </c>
      <c r="M68" t="s">
        <v>384</v>
      </c>
      <c r="N68" t="s">
        <v>693</v>
      </c>
    </row>
    <row r="69" spans="1:14" ht="30" x14ac:dyDescent="0.25">
      <c r="A69" s="84">
        <v>45833.480439814812</v>
      </c>
      <c r="B69" s="83">
        <v>77</v>
      </c>
      <c r="C69" s="83" t="s">
        <v>236</v>
      </c>
      <c r="D69" s="83" t="s">
        <v>27</v>
      </c>
      <c r="E69" s="83" t="s">
        <v>238</v>
      </c>
      <c r="I69" s="99">
        <v>45833.480439814812</v>
      </c>
      <c r="J69">
        <v>78</v>
      </c>
      <c r="K69" t="s">
        <v>387</v>
      </c>
      <c r="L69" t="s">
        <v>30</v>
      </c>
      <c r="M69" t="s">
        <v>590</v>
      </c>
      <c r="N69" t="s">
        <v>694</v>
      </c>
    </row>
    <row r="70" spans="1:14" ht="30" x14ac:dyDescent="0.25">
      <c r="A70" s="84">
        <v>45833.480439814812</v>
      </c>
      <c r="B70" s="83">
        <v>78</v>
      </c>
      <c r="C70" s="83" t="s">
        <v>387</v>
      </c>
      <c r="D70" s="83" t="s">
        <v>30</v>
      </c>
      <c r="E70" s="83" t="s">
        <v>590</v>
      </c>
      <c r="I70" s="99">
        <v>45833.480439814812</v>
      </c>
      <c r="J70">
        <v>79</v>
      </c>
      <c r="K70" t="s">
        <v>338</v>
      </c>
      <c r="L70" t="s">
        <v>21</v>
      </c>
      <c r="M70" t="s">
        <v>340</v>
      </c>
      <c r="N70" t="s">
        <v>695</v>
      </c>
    </row>
    <row r="71" spans="1:14" ht="45" x14ac:dyDescent="0.25">
      <c r="A71" s="84">
        <v>45833.480439814812</v>
      </c>
      <c r="B71" s="83">
        <v>79</v>
      </c>
      <c r="C71" s="83" t="s">
        <v>338</v>
      </c>
      <c r="D71" s="83" t="s">
        <v>21</v>
      </c>
      <c r="E71" s="83" t="s">
        <v>340</v>
      </c>
      <c r="I71" s="99">
        <v>45833.480451388888</v>
      </c>
      <c r="J71">
        <v>80</v>
      </c>
      <c r="K71" t="s">
        <v>345</v>
      </c>
      <c r="L71" t="s">
        <v>21</v>
      </c>
      <c r="N71" t="s">
        <v>696</v>
      </c>
    </row>
    <row r="72" spans="1:14" ht="30" x14ac:dyDescent="0.25">
      <c r="A72" s="84">
        <v>45833.480451388888</v>
      </c>
      <c r="B72" s="83">
        <v>80</v>
      </c>
      <c r="C72" s="83" t="s">
        <v>345</v>
      </c>
      <c r="D72" s="83" t="s">
        <v>21</v>
      </c>
      <c r="E72" s="83"/>
      <c r="I72" s="99">
        <v>45833.480451388888</v>
      </c>
      <c r="J72">
        <v>81</v>
      </c>
      <c r="K72" t="s">
        <v>348</v>
      </c>
      <c r="L72" t="s">
        <v>21</v>
      </c>
      <c r="M72" t="s">
        <v>349</v>
      </c>
      <c r="N72" t="s">
        <v>697</v>
      </c>
    </row>
    <row r="73" spans="1:14" ht="30" x14ac:dyDescent="0.25">
      <c r="A73" s="84">
        <v>45833.480451388888</v>
      </c>
      <c r="B73" s="83">
        <v>81</v>
      </c>
      <c r="C73" s="83" t="s">
        <v>348</v>
      </c>
      <c r="D73" s="83" t="s">
        <v>21</v>
      </c>
      <c r="E73" s="83" t="s">
        <v>349</v>
      </c>
      <c r="I73" s="99">
        <v>45833.480451388888</v>
      </c>
      <c r="J73">
        <v>82</v>
      </c>
      <c r="K73" t="s">
        <v>351</v>
      </c>
      <c r="L73" t="s">
        <v>25</v>
      </c>
      <c r="M73" t="s">
        <v>591</v>
      </c>
      <c r="N73" t="s">
        <v>698</v>
      </c>
    </row>
    <row r="74" spans="1:14" ht="30" x14ac:dyDescent="0.25">
      <c r="A74" s="84">
        <v>45833.480451388888</v>
      </c>
      <c r="B74" s="83">
        <v>82</v>
      </c>
      <c r="C74" s="83" t="s">
        <v>351</v>
      </c>
      <c r="D74" s="83" t="s">
        <v>25</v>
      </c>
      <c r="E74" s="83" t="s">
        <v>591</v>
      </c>
      <c r="I74" s="99">
        <v>45833.480451388888</v>
      </c>
      <c r="J74">
        <v>83</v>
      </c>
      <c r="K74" t="s">
        <v>193</v>
      </c>
      <c r="L74" t="s">
        <v>26</v>
      </c>
      <c r="M74" t="s">
        <v>195</v>
      </c>
      <c r="N74" t="s">
        <v>699</v>
      </c>
    </row>
    <row r="75" spans="1:14" ht="30" x14ac:dyDescent="0.25">
      <c r="A75" s="84">
        <v>45833.480451388888</v>
      </c>
      <c r="B75" s="83">
        <v>83</v>
      </c>
      <c r="C75" s="83" t="s">
        <v>193</v>
      </c>
      <c r="D75" s="83" t="s">
        <v>26</v>
      </c>
      <c r="E75" s="83" t="s">
        <v>195</v>
      </c>
      <c r="I75" s="99">
        <v>45833.480451388888</v>
      </c>
      <c r="J75">
        <v>84</v>
      </c>
      <c r="K75" t="s">
        <v>360</v>
      </c>
      <c r="L75" t="s">
        <v>25</v>
      </c>
      <c r="M75" t="s">
        <v>362</v>
      </c>
      <c r="N75" t="s">
        <v>700</v>
      </c>
    </row>
    <row r="76" spans="1:14" ht="45" x14ac:dyDescent="0.25">
      <c r="A76" s="84">
        <v>45833.480451388888</v>
      </c>
      <c r="B76" s="83">
        <v>84</v>
      </c>
      <c r="C76" s="83" t="s">
        <v>360</v>
      </c>
      <c r="D76" s="83" t="s">
        <v>25</v>
      </c>
      <c r="E76" s="83" t="s">
        <v>362</v>
      </c>
      <c r="I76" s="99">
        <v>45833.480451388888</v>
      </c>
      <c r="J76">
        <v>85</v>
      </c>
      <c r="K76" t="s">
        <v>365</v>
      </c>
      <c r="L76" t="s">
        <v>21</v>
      </c>
      <c r="M76" t="s">
        <v>366</v>
      </c>
      <c r="N76" t="s">
        <v>701</v>
      </c>
    </row>
    <row r="77" spans="1:14" ht="30" x14ac:dyDescent="0.25">
      <c r="A77" s="84">
        <v>45833.480451388888</v>
      </c>
      <c r="B77" s="83">
        <v>85</v>
      </c>
      <c r="C77" s="83" t="s">
        <v>365</v>
      </c>
      <c r="D77" s="83" t="s">
        <v>21</v>
      </c>
      <c r="E77" s="83" t="s">
        <v>366</v>
      </c>
      <c r="I77" s="99">
        <v>45833.480462962965</v>
      </c>
      <c r="J77">
        <v>86</v>
      </c>
      <c r="K77" t="s">
        <v>368</v>
      </c>
      <c r="L77" t="s">
        <v>21</v>
      </c>
      <c r="M77" t="s">
        <v>369</v>
      </c>
      <c r="N77" t="s">
        <v>702</v>
      </c>
    </row>
    <row r="78" spans="1:14" ht="75" x14ac:dyDescent="0.25">
      <c r="A78" s="84">
        <v>45833.480462962965</v>
      </c>
      <c r="B78" s="83">
        <v>86</v>
      </c>
      <c r="C78" s="83" t="s">
        <v>368</v>
      </c>
      <c r="D78" s="83" t="s">
        <v>21</v>
      </c>
      <c r="E78" s="83" t="s">
        <v>369</v>
      </c>
      <c r="I78" s="99">
        <v>45833.480462962965</v>
      </c>
      <c r="J78">
        <v>87</v>
      </c>
      <c r="K78" t="s">
        <v>108</v>
      </c>
      <c r="L78" t="s">
        <v>25</v>
      </c>
      <c r="M78" t="s">
        <v>592</v>
      </c>
      <c r="N78" t="s">
        <v>703</v>
      </c>
    </row>
    <row r="79" spans="1:14" ht="30" x14ac:dyDescent="0.25">
      <c r="A79" s="84">
        <v>45833.480462962965</v>
      </c>
      <c r="B79" s="83">
        <v>87</v>
      </c>
      <c r="C79" s="83" t="s">
        <v>108</v>
      </c>
      <c r="D79" s="83" t="s">
        <v>25</v>
      </c>
      <c r="E79" s="83" t="s">
        <v>592</v>
      </c>
      <c r="I79" s="99">
        <v>45833.480462962965</v>
      </c>
      <c r="J79">
        <v>88</v>
      </c>
      <c r="K79" t="s">
        <v>375</v>
      </c>
      <c r="L79" t="s">
        <v>55</v>
      </c>
      <c r="M79" t="s">
        <v>377</v>
      </c>
      <c r="N79" t="s">
        <v>704</v>
      </c>
    </row>
    <row r="80" spans="1:14" ht="30" x14ac:dyDescent="0.25">
      <c r="A80" s="84">
        <v>45833.480462962965</v>
      </c>
      <c r="B80" s="83">
        <v>88</v>
      </c>
      <c r="C80" s="83" t="s">
        <v>375</v>
      </c>
      <c r="D80" s="83" t="s">
        <v>55</v>
      </c>
      <c r="E80" s="83" t="s">
        <v>377</v>
      </c>
      <c r="I80" s="99">
        <v>45833.480462962965</v>
      </c>
      <c r="J80">
        <v>89</v>
      </c>
      <c r="K80" t="s">
        <v>380</v>
      </c>
      <c r="L80" t="s">
        <v>21</v>
      </c>
      <c r="N80" t="s">
        <v>705</v>
      </c>
    </row>
    <row r="81" spans="1:14" ht="30" x14ac:dyDescent="0.25">
      <c r="A81" s="84">
        <v>45833.480462962965</v>
      </c>
      <c r="B81" s="83">
        <v>89</v>
      </c>
      <c r="C81" s="83" t="s">
        <v>380</v>
      </c>
      <c r="D81" s="83" t="s">
        <v>21</v>
      </c>
      <c r="E81" s="83"/>
      <c r="I81" s="99">
        <v>45833.480474537035</v>
      </c>
      <c r="J81">
        <v>90</v>
      </c>
      <c r="K81" t="s">
        <v>117</v>
      </c>
      <c r="L81" t="s">
        <v>25</v>
      </c>
      <c r="M81" t="s">
        <v>119</v>
      </c>
      <c r="N81" t="s">
        <v>706</v>
      </c>
    </row>
    <row r="82" spans="1:14" ht="120" x14ac:dyDescent="0.25">
      <c r="A82" s="84">
        <v>45833.480474537035</v>
      </c>
      <c r="B82" s="83">
        <v>90</v>
      </c>
      <c r="C82" s="83" t="s">
        <v>117</v>
      </c>
      <c r="D82" s="83" t="s">
        <v>25</v>
      </c>
      <c r="E82" s="83" t="s">
        <v>119</v>
      </c>
      <c r="I82" s="99">
        <v>45833.493923611109</v>
      </c>
      <c r="J82">
        <v>92</v>
      </c>
      <c r="K82" t="s">
        <v>593</v>
      </c>
      <c r="L82" t="s">
        <v>23</v>
      </c>
      <c r="M82" t="s">
        <v>579</v>
      </c>
      <c r="N82" t="s">
        <v>707</v>
      </c>
    </row>
    <row r="83" spans="1:14" ht="30" x14ac:dyDescent="0.25">
      <c r="A83" s="84">
        <v>45833.480474537035</v>
      </c>
      <c r="B83" s="83">
        <v>91</v>
      </c>
      <c r="C83" s="83" t="s">
        <v>65</v>
      </c>
      <c r="D83" s="83" t="s">
        <v>23</v>
      </c>
      <c r="E83" s="83" t="s">
        <v>67</v>
      </c>
      <c r="I83" s="99">
        <v>45833.494305555556</v>
      </c>
      <c r="J83">
        <v>92</v>
      </c>
      <c r="K83" t="s">
        <v>593</v>
      </c>
      <c r="L83" t="s">
        <v>25</v>
      </c>
      <c r="M83" t="s">
        <v>579</v>
      </c>
      <c r="N83" t="s">
        <v>708</v>
      </c>
    </row>
    <row r="84" spans="1:14" ht="30" x14ac:dyDescent="0.25">
      <c r="A84" s="84">
        <v>45833.493923611109</v>
      </c>
      <c r="B84" s="83">
        <v>92</v>
      </c>
      <c r="C84" s="83" t="s">
        <v>593</v>
      </c>
      <c r="D84" s="83" t="s">
        <v>23</v>
      </c>
      <c r="E84" s="83" t="s">
        <v>579</v>
      </c>
      <c r="I84" s="99">
        <v>45833.520300925928</v>
      </c>
      <c r="J84">
        <v>58</v>
      </c>
      <c r="K84" t="s">
        <v>255</v>
      </c>
      <c r="L84" t="s">
        <v>28</v>
      </c>
      <c r="M84" t="s">
        <v>258</v>
      </c>
      <c r="N84" t="s">
        <v>709</v>
      </c>
    </row>
    <row r="85" spans="1:14" ht="30" x14ac:dyDescent="0.25">
      <c r="A85" s="84">
        <v>45833.494305555556</v>
      </c>
      <c r="B85" s="83">
        <v>92</v>
      </c>
      <c r="C85" s="83" t="s">
        <v>593</v>
      </c>
      <c r="D85" s="83" t="s">
        <v>25</v>
      </c>
      <c r="E85" s="83" t="s">
        <v>579</v>
      </c>
      <c r="I85" s="99">
        <v>45833.528379629628</v>
      </c>
      <c r="J85">
        <v>91</v>
      </c>
      <c r="K85" t="s">
        <v>387</v>
      </c>
      <c r="L85" t="s">
        <v>55</v>
      </c>
      <c r="M85" t="s">
        <v>389</v>
      </c>
      <c r="N85" t="s">
        <v>710</v>
      </c>
    </row>
    <row r="86" spans="1:14" ht="150" x14ac:dyDescent="0.25">
      <c r="A86" s="84">
        <v>45833.519768518519</v>
      </c>
      <c r="B86" s="83">
        <v>58</v>
      </c>
      <c r="C86" s="83" t="s">
        <v>255</v>
      </c>
      <c r="D86" s="83" t="s">
        <v>28</v>
      </c>
      <c r="E86" s="83" t="s">
        <v>587</v>
      </c>
      <c r="I86" s="99">
        <v>45833.591724537036</v>
      </c>
      <c r="J86">
        <v>77</v>
      </c>
      <c r="K86" t="s">
        <v>328</v>
      </c>
      <c r="L86" t="s">
        <v>55</v>
      </c>
      <c r="N86" t="s">
        <v>711</v>
      </c>
    </row>
    <row r="87" spans="1:14" ht="30" x14ac:dyDescent="0.25">
      <c r="A87" s="84">
        <v>45833.520300925928</v>
      </c>
      <c r="B87" s="83">
        <v>58</v>
      </c>
      <c r="C87" s="83" t="s">
        <v>255</v>
      </c>
      <c r="D87" s="83" t="s">
        <v>28</v>
      </c>
      <c r="E87" s="83" t="s">
        <v>258</v>
      </c>
      <c r="I87" s="99">
        <v>45833.592048611114</v>
      </c>
      <c r="J87">
        <v>77</v>
      </c>
      <c r="K87" t="s">
        <v>328</v>
      </c>
      <c r="L87" t="s">
        <v>55</v>
      </c>
      <c r="M87" t="s">
        <v>330</v>
      </c>
      <c r="N87" t="s">
        <v>712</v>
      </c>
    </row>
    <row r="88" spans="1:14" ht="30" x14ac:dyDescent="0.25">
      <c r="A88" s="84">
        <v>45833.528379629628</v>
      </c>
      <c r="B88" s="83">
        <v>91</v>
      </c>
      <c r="C88" s="83" t="s">
        <v>387</v>
      </c>
      <c r="D88" s="83" t="s">
        <v>55</v>
      </c>
      <c r="E88" s="83" t="s">
        <v>389</v>
      </c>
      <c r="I88" s="99">
        <v>45833.616203703707</v>
      </c>
      <c r="J88">
        <v>18</v>
      </c>
      <c r="K88" t="s">
        <v>87</v>
      </c>
      <c r="L88" t="s">
        <v>25</v>
      </c>
      <c r="M88" t="s">
        <v>89</v>
      </c>
      <c r="N88" t="s">
        <v>713</v>
      </c>
    </row>
    <row r="89" spans="1:14" ht="30" x14ac:dyDescent="0.25">
      <c r="A89" s="84">
        <v>45833.590937499997</v>
      </c>
      <c r="B89" s="83">
        <v>77</v>
      </c>
      <c r="C89" s="83" t="s">
        <v>328</v>
      </c>
      <c r="D89" s="83" t="s">
        <v>30</v>
      </c>
      <c r="E89" s="83"/>
      <c r="I89" s="99">
        <v>45833.616249999999</v>
      </c>
      <c r="J89">
        <v>26</v>
      </c>
      <c r="K89" t="s">
        <v>122</v>
      </c>
      <c r="L89" t="s">
        <v>26</v>
      </c>
      <c r="M89" t="s">
        <v>89</v>
      </c>
      <c r="N89" t="s">
        <v>714</v>
      </c>
    </row>
    <row r="90" spans="1:14" ht="30" x14ac:dyDescent="0.25">
      <c r="A90" s="84">
        <v>45833.591724537036</v>
      </c>
      <c r="B90" s="83">
        <v>77</v>
      </c>
      <c r="C90" s="83" t="s">
        <v>328</v>
      </c>
      <c r="D90" s="83" t="s">
        <v>55</v>
      </c>
      <c r="E90" s="83"/>
      <c r="I90" s="99">
        <v>45833.620405092595</v>
      </c>
      <c r="J90">
        <v>22</v>
      </c>
      <c r="K90" t="s">
        <v>103</v>
      </c>
      <c r="L90" t="s">
        <v>25</v>
      </c>
      <c r="M90" t="s">
        <v>105</v>
      </c>
      <c r="N90" t="s">
        <v>715</v>
      </c>
    </row>
    <row r="91" spans="1:14" ht="30" x14ac:dyDescent="0.25">
      <c r="A91" s="84">
        <v>45833.592048611114</v>
      </c>
      <c r="B91" s="83">
        <v>77</v>
      </c>
      <c r="C91" s="83" t="s">
        <v>328</v>
      </c>
      <c r="D91" s="83" t="s">
        <v>55</v>
      </c>
      <c r="E91" s="83" t="s">
        <v>330</v>
      </c>
      <c r="I91" s="99">
        <v>45833.633680555555</v>
      </c>
      <c r="J91">
        <v>65</v>
      </c>
      <c r="K91" t="s">
        <v>280</v>
      </c>
      <c r="L91" t="s">
        <v>29</v>
      </c>
      <c r="M91" t="s">
        <v>282</v>
      </c>
      <c r="N91" t="s">
        <v>716</v>
      </c>
    </row>
    <row r="92" spans="1:14" ht="30" x14ac:dyDescent="0.25">
      <c r="A92" s="84">
        <v>45833.616203703707</v>
      </c>
      <c r="B92" s="83">
        <v>18</v>
      </c>
      <c r="C92" s="83" t="s">
        <v>87</v>
      </c>
      <c r="D92" s="83" t="s">
        <v>25</v>
      </c>
      <c r="E92" s="83" t="s">
        <v>89</v>
      </c>
      <c r="I92" s="99">
        <v>45834.601111111115</v>
      </c>
      <c r="J92">
        <v>92</v>
      </c>
      <c r="K92" t="s">
        <v>391</v>
      </c>
      <c r="L92" t="s">
        <v>23</v>
      </c>
      <c r="N92" t="s">
        <v>717</v>
      </c>
    </row>
    <row r="93" spans="1:14" ht="30" x14ac:dyDescent="0.25">
      <c r="A93" s="84">
        <v>45833.616249999999</v>
      </c>
      <c r="B93" s="83">
        <v>26</v>
      </c>
      <c r="C93" s="83" t="s">
        <v>122</v>
      </c>
      <c r="D93" s="83" t="s">
        <v>26</v>
      </c>
      <c r="E93" s="83" t="s">
        <v>89</v>
      </c>
      <c r="I93" s="99">
        <v>45834.604375000003</v>
      </c>
      <c r="J93">
        <v>93</v>
      </c>
      <c r="K93" t="s">
        <v>395</v>
      </c>
      <c r="L93" t="s">
        <v>29</v>
      </c>
      <c r="M93" t="s">
        <v>262</v>
      </c>
      <c r="N93" t="s">
        <v>718</v>
      </c>
    </row>
    <row r="94" spans="1:14" ht="30" x14ac:dyDescent="0.25">
      <c r="A94" s="84">
        <v>45833.620405092595</v>
      </c>
      <c r="B94" s="83">
        <v>22</v>
      </c>
      <c r="C94" s="83" t="s">
        <v>103</v>
      </c>
      <c r="D94" s="83" t="s">
        <v>25</v>
      </c>
      <c r="E94" s="83" t="s">
        <v>105</v>
      </c>
      <c r="I94" s="99">
        <v>45839.428310185183</v>
      </c>
      <c r="J94">
        <v>92</v>
      </c>
      <c r="K94" t="s">
        <v>391</v>
      </c>
      <c r="L94" t="s">
        <v>23</v>
      </c>
      <c r="M94" t="s">
        <v>596</v>
      </c>
      <c r="N94" t="s">
        <v>719</v>
      </c>
    </row>
    <row r="95" spans="1:14" ht="30" x14ac:dyDescent="0.25">
      <c r="A95" s="84">
        <v>45833.633680555555</v>
      </c>
      <c r="B95" s="83">
        <v>65</v>
      </c>
      <c r="C95" s="83" t="s">
        <v>280</v>
      </c>
      <c r="D95" s="83" t="s">
        <v>29</v>
      </c>
      <c r="E95" s="83" t="s">
        <v>282</v>
      </c>
      <c r="I95" s="99">
        <v>45839.67659722222</v>
      </c>
      <c r="J95">
        <v>14</v>
      </c>
      <c r="K95" t="s">
        <v>56</v>
      </c>
      <c r="L95" t="s">
        <v>21</v>
      </c>
      <c r="M95" t="s">
        <v>60</v>
      </c>
      <c r="N95" t="s">
        <v>720</v>
      </c>
    </row>
    <row r="96" spans="1:14" ht="30" x14ac:dyDescent="0.25">
      <c r="A96" s="84">
        <v>45834.601111111115</v>
      </c>
      <c r="B96" s="83">
        <v>92</v>
      </c>
      <c r="C96" s="83" t="s">
        <v>391</v>
      </c>
      <c r="D96" s="83" t="s">
        <v>23</v>
      </c>
      <c r="E96" s="83"/>
      <c r="I96" s="99">
        <v>45839.676620370374</v>
      </c>
      <c r="J96">
        <v>26</v>
      </c>
      <c r="K96" t="s">
        <v>110</v>
      </c>
      <c r="L96" t="s">
        <v>55</v>
      </c>
      <c r="M96" t="s">
        <v>113</v>
      </c>
      <c r="N96" t="s">
        <v>721</v>
      </c>
    </row>
    <row r="97" spans="1:14" ht="30" x14ac:dyDescent="0.25">
      <c r="A97" s="84">
        <v>45834.604375000003</v>
      </c>
      <c r="B97" s="83">
        <v>93</v>
      </c>
      <c r="C97" s="83" t="s">
        <v>395</v>
      </c>
      <c r="D97" s="83" t="s">
        <v>29</v>
      </c>
      <c r="E97" s="83" t="s">
        <v>262</v>
      </c>
      <c r="I97" s="99">
        <v>45839.676620370374</v>
      </c>
      <c r="J97">
        <v>30</v>
      </c>
      <c r="K97" t="s">
        <v>132</v>
      </c>
      <c r="L97" t="s">
        <v>55</v>
      </c>
      <c r="M97" t="s">
        <v>135</v>
      </c>
      <c r="N97" t="s">
        <v>722</v>
      </c>
    </row>
    <row r="98" spans="1:14" ht="30" x14ac:dyDescent="0.25">
      <c r="A98" s="84">
        <v>45839.428310185183</v>
      </c>
      <c r="B98" s="83">
        <v>92</v>
      </c>
      <c r="C98" s="83" t="s">
        <v>391</v>
      </c>
      <c r="D98" s="83" t="s">
        <v>23</v>
      </c>
      <c r="E98" s="83" t="s">
        <v>596</v>
      </c>
      <c r="I98" s="99">
        <v>45839.676689814813</v>
      </c>
      <c r="J98">
        <v>70</v>
      </c>
      <c r="K98" t="s">
        <v>295</v>
      </c>
      <c r="L98" t="s">
        <v>29</v>
      </c>
      <c r="M98" t="s">
        <v>600</v>
      </c>
      <c r="N98" t="s">
        <v>723</v>
      </c>
    </row>
    <row r="99" spans="1:14" ht="30" x14ac:dyDescent="0.25">
      <c r="A99" s="84">
        <v>45839.67659722222</v>
      </c>
      <c r="B99" s="83">
        <v>14</v>
      </c>
      <c r="C99" s="83" t="s">
        <v>56</v>
      </c>
      <c r="D99" s="83" t="s">
        <v>21</v>
      </c>
      <c r="E99" s="83" t="s">
        <v>60</v>
      </c>
      <c r="I99" s="99">
        <v>45839.676701388889</v>
      </c>
      <c r="J99">
        <v>78</v>
      </c>
      <c r="K99" t="s">
        <v>323</v>
      </c>
      <c r="L99" t="s">
        <v>30</v>
      </c>
      <c r="M99" t="s">
        <v>326</v>
      </c>
      <c r="N99" t="s">
        <v>724</v>
      </c>
    </row>
    <row r="100" spans="1:14" ht="30" x14ac:dyDescent="0.25">
      <c r="A100" s="84">
        <v>45839.67659722222</v>
      </c>
      <c r="B100" s="83">
        <v>15</v>
      </c>
      <c r="C100" s="83" t="s">
        <v>65</v>
      </c>
      <c r="D100" s="83" t="s">
        <v>23</v>
      </c>
      <c r="E100" s="83" t="s">
        <v>67</v>
      </c>
      <c r="I100" s="99">
        <v>45839.676701388889</v>
      </c>
      <c r="J100">
        <v>85</v>
      </c>
      <c r="K100" t="s">
        <v>357</v>
      </c>
      <c r="L100" t="s">
        <v>30</v>
      </c>
      <c r="M100" t="s">
        <v>597</v>
      </c>
      <c r="N100" t="s">
        <v>725</v>
      </c>
    </row>
    <row r="101" spans="1:14" ht="30" x14ac:dyDescent="0.25">
      <c r="A101" s="84">
        <v>45839.67659722222</v>
      </c>
      <c r="B101" s="83">
        <v>16</v>
      </c>
      <c r="C101" s="83" t="s">
        <v>73</v>
      </c>
      <c r="D101" s="83" t="s">
        <v>21</v>
      </c>
      <c r="E101" s="83" t="s">
        <v>76</v>
      </c>
      <c r="I101" s="99">
        <v>45839.676701388889</v>
      </c>
      <c r="J101">
        <v>89</v>
      </c>
      <c r="K101" t="s">
        <v>372</v>
      </c>
      <c r="L101" t="s">
        <v>30</v>
      </c>
      <c r="M101" t="s">
        <v>598</v>
      </c>
      <c r="N101" t="s">
        <v>726</v>
      </c>
    </row>
    <row r="102" spans="1:14" ht="30" x14ac:dyDescent="0.25">
      <c r="A102" s="84">
        <v>45839.67659722222</v>
      </c>
      <c r="B102" s="83">
        <v>17</v>
      </c>
      <c r="C102" s="83" t="s">
        <v>78</v>
      </c>
      <c r="D102" s="83" t="s">
        <v>21</v>
      </c>
      <c r="E102" s="83" t="s">
        <v>80</v>
      </c>
      <c r="I102" s="99">
        <v>45840.511874999997</v>
      </c>
      <c r="J102">
        <v>96</v>
      </c>
      <c r="K102" t="s">
        <v>602</v>
      </c>
      <c r="L102" t="s">
        <v>25</v>
      </c>
      <c r="N102" t="s">
        <v>727</v>
      </c>
    </row>
    <row r="103" spans="1:14" ht="30" x14ac:dyDescent="0.25">
      <c r="A103" s="84">
        <v>45839.67659722222</v>
      </c>
      <c r="B103" s="83">
        <v>18</v>
      </c>
      <c r="C103" s="83" t="s">
        <v>82</v>
      </c>
      <c r="D103" s="83" t="s">
        <v>55</v>
      </c>
      <c r="E103" s="83" t="s">
        <v>84</v>
      </c>
      <c r="I103" s="99">
        <v>45840.607361111113</v>
      </c>
      <c r="J103">
        <v>43</v>
      </c>
      <c r="K103" t="s">
        <v>175</v>
      </c>
      <c r="L103" t="s">
        <v>25</v>
      </c>
      <c r="M103" t="s">
        <v>604</v>
      </c>
      <c r="N103" t="s">
        <v>728</v>
      </c>
    </row>
    <row r="104" spans="1:14" ht="30" x14ac:dyDescent="0.25">
      <c r="A104" s="84">
        <v>45839.676608796297</v>
      </c>
      <c r="B104" s="83">
        <v>19</v>
      </c>
      <c r="C104" s="83" t="s">
        <v>85</v>
      </c>
      <c r="D104" s="83" t="s">
        <v>55</v>
      </c>
      <c r="E104" s="83" t="s">
        <v>84</v>
      </c>
      <c r="I104" s="99">
        <v>45841.381041666667</v>
      </c>
      <c r="J104">
        <v>61</v>
      </c>
      <c r="K104" t="s">
        <v>260</v>
      </c>
      <c r="L104" t="s">
        <v>30</v>
      </c>
      <c r="M104" t="s">
        <v>262</v>
      </c>
      <c r="N104" t="s">
        <v>729</v>
      </c>
    </row>
    <row r="105" spans="1:14" ht="30" x14ac:dyDescent="0.25">
      <c r="A105" s="84">
        <v>45839.676608796297</v>
      </c>
      <c r="B105" s="83">
        <v>20</v>
      </c>
      <c r="C105" s="83" t="s">
        <v>87</v>
      </c>
      <c r="D105" s="83" t="s">
        <v>25</v>
      </c>
      <c r="E105" s="83" t="s">
        <v>89</v>
      </c>
      <c r="I105" s="99">
        <v>45841.381053240744</v>
      </c>
      <c r="J105">
        <v>95</v>
      </c>
      <c r="K105" t="s">
        <v>395</v>
      </c>
      <c r="L105" t="s">
        <v>30</v>
      </c>
      <c r="M105" t="s">
        <v>262</v>
      </c>
      <c r="N105" t="s">
        <v>730</v>
      </c>
    </row>
    <row r="106" spans="1:14" ht="60" x14ac:dyDescent="0.25">
      <c r="A106" s="84">
        <v>45839.676608796297</v>
      </c>
      <c r="B106" s="83">
        <v>21</v>
      </c>
      <c r="C106" s="83" t="s">
        <v>92</v>
      </c>
      <c r="D106" s="83" t="s">
        <v>25</v>
      </c>
      <c r="E106" s="83" t="s">
        <v>94</v>
      </c>
      <c r="I106" s="99">
        <v>45846.335405092592</v>
      </c>
      <c r="J106">
        <v>97</v>
      </c>
      <c r="K106" t="s">
        <v>618</v>
      </c>
      <c r="L106" t="s">
        <v>23</v>
      </c>
      <c r="N106" t="s">
        <v>731</v>
      </c>
    </row>
    <row r="107" spans="1:14" ht="30" x14ac:dyDescent="0.25">
      <c r="A107" s="84">
        <v>45839.676608796297</v>
      </c>
      <c r="B107" s="83">
        <v>22</v>
      </c>
      <c r="C107" s="83" t="s">
        <v>99</v>
      </c>
      <c r="D107" s="83" t="s">
        <v>55</v>
      </c>
      <c r="E107" s="83" t="s">
        <v>84</v>
      </c>
      <c r="I107" s="99">
        <v>45846.433946759258</v>
      </c>
      <c r="J107">
        <v>94</v>
      </c>
      <c r="K107" t="s">
        <v>391</v>
      </c>
      <c r="L107" t="s">
        <v>25</v>
      </c>
      <c r="M107" t="s">
        <v>623</v>
      </c>
      <c r="N107" t="s">
        <v>732</v>
      </c>
    </row>
    <row r="108" spans="1:14" ht="30" x14ac:dyDescent="0.25">
      <c r="A108" s="84">
        <v>45839.676608796297</v>
      </c>
      <c r="B108" s="83">
        <v>23</v>
      </c>
      <c r="C108" s="83" t="s">
        <v>101</v>
      </c>
      <c r="D108" s="83" t="s">
        <v>55</v>
      </c>
      <c r="E108" s="83" t="s">
        <v>84</v>
      </c>
      <c r="I108" s="99">
        <v>45846.433946759258</v>
      </c>
      <c r="J108">
        <v>97</v>
      </c>
      <c r="K108" t="s">
        <v>618</v>
      </c>
      <c r="L108" t="s">
        <v>25</v>
      </c>
      <c r="M108" t="s">
        <v>623</v>
      </c>
      <c r="N108" t="s">
        <v>733</v>
      </c>
    </row>
    <row r="109" spans="1:14" ht="30" x14ac:dyDescent="0.25">
      <c r="A109" s="84">
        <v>45839.676608796297</v>
      </c>
      <c r="B109" s="83">
        <v>24</v>
      </c>
      <c r="C109" s="83" t="s">
        <v>103</v>
      </c>
      <c r="D109" s="83" t="s">
        <v>25</v>
      </c>
      <c r="E109" s="83" t="s">
        <v>105</v>
      </c>
      <c r="I109" s="99">
        <v>45846.485208333332</v>
      </c>
      <c r="J109">
        <v>80</v>
      </c>
      <c r="K109" t="s">
        <v>332</v>
      </c>
      <c r="L109" t="s">
        <v>30</v>
      </c>
      <c r="M109" t="s">
        <v>734</v>
      </c>
      <c r="N109" t="s">
        <v>735</v>
      </c>
    </row>
    <row r="110" spans="1:14" ht="30" x14ac:dyDescent="0.25">
      <c r="A110" s="84">
        <v>45839.676620370374</v>
      </c>
      <c r="B110" s="83">
        <v>25</v>
      </c>
      <c r="C110" s="83" t="s">
        <v>108</v>
      </c>
      <c r="D110" s="83" t="s">
        <v>25</v>
      </c>
      <c r="E110" s="83" t="s">
        <v>592</v>
      </c>
      <c r="I110" s="99">
        <v>45849.375821759262</v>
      </c>
      <c r="J110">
        <v>97</v>
      </c>
      <c r="K110" t="s">
        <v>739</v>
      </c>
      <c r="L110" t="s">
        <v>23</v>
      </c>
      <c r="M110" t="s">
        <v>746</v>
      </c>
      <c r="N110" t="s">
        <v>764</v>
      </c>
    </row>
    <row r="111" spans="1:14" ht="30" x14ac:dyDescent="0.25">
      <c r="A111" s="84">
        <v>45839.676620370374</v>
      </c>
      <c r="B111" s="83">
        <v>26</v>
      </c>
      <c r="C111" s="83" t="s">
        <v>110</v>
      </c>
      <c r="D111" s="83" t="s">
        <v>55</v>
      </c>
      <c r="E111" s="83" t="s">
        <v>113</v>
      </c>
      <c r="I111" s="99">
        <v>45853.36074074074</v>
      </c>
      <c r="J111">
        <v>14</v>
      </c>
      <c r="K111" t="s">
        <v>56</v>
      </c>
      <c r="L111" t="s">
        <v>736</v>
      </c>
      <c r="M111" t="s">
        <v>59</v>
      </c>
      <c r="N111" t="s">
        <v>765</v>
      </c>
    </row>
    <row r="112" spans="1:14" ht="120" x14ac:dyDescent="0.25">
      <c r="A112" s="84">
        <v>45839.676620370374</v>
      </c>
      <c r="B112" s="83">
        <v>27</v>
      </c>
      <c r="C112" s="83" t="s">
        <v>117</v>
      </c>
      <c r="D112" s="83" t="s">
        <v>25</v>
      </c>
      <c r="E112" s="83" t="s">
        <v>119</v>
      </c>
      <c r="I112" s="99">
        <v>45853.36074074074</v>
      </c>
      <c r="J112">
        <v>15</v>
      </c>
      <c r="K112" t="s">
        <v>65</v>
      </c>
      <c r="L112" t="s">
        <v>68</v>
      </c>
      <c r="M112" t="s">
        <v>17</v>
      </c>
      <c r="N112" t="s">
        <v>766</v>
      </c>
    </row>
    <row r="113" spans="1:14" ht="30" x14ac:dyDescent="0.25">
      <c r="A113" s="84">
        <v>45839.676620370374</v>
      </c>
      <c r="B113" s="83">
        <v>28</v>
      </c>
      <c r="C113" s="83" t="s">
        <v>122</v>
      </c>
      <c r="D113" s="83" t="s">
        <v>26</v>
      </c>
      <c r="E113" s="83" t="s">
        <v>89</v>
      </c>
      <c r="I113" s="99">
        <v>45853.36074074074</v>
      </c>
      <c r="J113">
        <v>16</v>
      </c>
      <c r="K113" t="s">
        <v>73</v>
      </c>
      <c r="L113" t="s">
        <v>736</v>
      </c>
      <c r="M113" t="s">
        <v>75</v>
      </c>
      <c r="N113" t="s">
        <v>767</v>
      </c>
    </row>
    <row r="114" spans="1:14" ht="45" x14ac:dyDescent="0.25">
      <c r="A114" s="84">
        <v>45839.676620370374</v>
      </c>
      <c r="B114" s="83">
        <v>29</v>
      </c>
      <c r="C114" s="83" t="s">
        <v>125</v>
      </c>
      <c r="D114" s="83" t="s">
        <v>21</v>
      </c>
      <c r="E114" s="83" t="s">
        <v>127</v>
      </c>
      <c r="I114" s="99">
        <v>45853.360752314817</v>
      </c>
      <c r="J114">
        <v>17</v>
      </c>
      <c r="K114" t="s">
        <v>78</v>
      </c>
      <c r="L114" t="s">
        <v>736</v>
      </c>
      <c r="M114" t="s">
        <v>75</v>
      </c>
      <c r="N114" t="s">
        <v>768</v>
      </c>
    </row>
    <row r="115" spans="1:14" ht="60" x14ac:dyDescent="0.25">
      <c r="A115" s="84">
        <v>45839.676620370374</v>
      </c>
      <c r="B115" s="83">
        <v>30</v>
      </c>
      <c r="C115" s="83" t="s">
        <v>132</v>
      </c>
      <c r="D115" s="83" t="s">
        <v>55</v>
      </c>
      <c r="E115" s="83" t="s">
        <v>135</v>
      </c>
      <c r="I115" s="99">
        <v>45853.360752314817</v>
      </c>
      <c r="J115">
        <v>18</v>
      </c>
      <c r="K115" t="s">
        <v>82</v>
      </c>
      <c r="L115" t="s">
        <v>61</v>
      </c>
      <c r="M115" t="s">
        <v>75</v>
      </c>
      <c r="N115" t="s">
        <v>769</v>
      </c>
    </row>
    <row r="116" spans="1:14" ht="30" x14ac:dyDescent="0.25">
      <c r="A116" s="84">
        <v>45839.676631944443</v>
      </c>
      <c r="B116" s="83">
        <v>31</v>
      </c>
      <c r="C116" s="83" t="s">
        <v>137</v>
      </c>
      <c r="D116" s="83" t="s">
        <v>55</v>
      </c>
      <c r="E116" s="83" t="s">
        <v>84</v>
      </c>
      <c r="I116" s="99">
        <v>45853.360752314817</v>
      </c>
      <c r="J116">
        <v>19</v>
      </c>
      <c r="K116" t="s">
        <v>85</v>
      </c>
      <c r="L116" t="s">
        <v>61</v>
      </c>
      <c r="M116" t="s">
        <v>75</v>
      </c>
      <c r="N116" t="s">
        <v>770</v>
      </c>
    </row>
    <row r="117" spans="1:14" ht="30" x14ac:dyDescent="0.25">
      <c r="A117" s="84">
        <v>45839.676631944443</v>
      </c>
      <c r="B117" s="83">
        <v>32</v>
      </c>
      <c r="C117" s="83" t="s">
        <v>139</v>
      </c>
      <c r="D117" s="83" t="s">
        <v>55</v>
      </c>
      <c r="E117" s="83" t="s">
        <v>84</v>
      </c>
      <c r="I117" s="99">
        <v>45853.360763888886</v>
      </c>
      <c r="J117">
        <v>20</v>
      </c>
      <c r="K117" t="s">
        <v>87</v>
      </c>
      <c r="L117" t="s">
        <v>68</v>
      </c>
      <c r="M117" t="s">
        <v>17</v>
      </c>
      <c r="N117" t="s">
        <v>771</v>
      </c>
    </row>
    <row r="118" spans="1:14" ht="45" x14ac:dyDescent="0.25">
      <c r="A118" s="84">
        <v>45839.676631944443</v>
      </c>
      <c r="B118" s="83">
        <v>33</v>
      </c>
      <c r="C118" s="83" t="s">
        <v>141</v>
      </c>
      <c r="D118" s="83" t="s">
        <v>21</v>
      </c>
      <c r="E118" s="83" t="s">
        <v>585</v>
      </c>
      <c r="I118" s="99">
        <v>45853.360763888886</v>
      </c>
      <c r="J118">
        <v>21</v>
      </c>
      <c r="K118" t="s">
        <v>92</v>
      </c>
      <c r="L118" t="s">
        <v>68</v>
      </c>
      <c r="M118" t="s">
        <v>17</v>
      </c>
      <c r="N118" t="s">
        <v>772</v>
      </c>
    </row>
    <row r="119" spans="1:14" ht="30" x14ac:dyDescent="0.25">
      <c r="A119" s="84">
        <v>45839.676631944443</v>
      </c>
      <c r="B119" s="83">
        <v>34</v>
      </c>
      <c r="C119" s="83" t="s">
        <v>144</v>
      </c>
      <c r="D119" s="83" t="s">
        <v>21</v>
      </c>
      <c r="E119" s="83" t="s">
        <v>84</v>
      </c>
      <c r="I119" s="99">
        <v>45853.360763888886</v>
      </c>
      <c r="J119">
        <v>22</v>
      </c>
      <c r="K119" t="s">
        <v>99</v>
      </c>
      <c r="L119" t="s">
        <v>61</v>
      </c>
      <c r="M119" t="s">
        <v>17</v>
      </c>
      <c r="N119" t="s">
        <v>773</v>
      </c>
    </row>
    <row r="120" spans="1:14" ht="60" x14ac:dyDescent="0.25">
      <c r="A120" s="84">
        <v>45839.676631944443</v>
      </c>
      <c r="B120" s="83">
        <v>35</v>
      </c>
      <c r="C120" s="83" t="s">
        <v>148</v>
      </c>
      <c r="D120" s="83" t="s">
        <v>21</v>
      </c>
      <c r="E120" s="83" t="s">
        <v>150</v>
      </c>
      <c r="I120" s="99">
        <v>45853.360763888886</v>
      </c>
      <c r="J120">
        <v>23</v>
      </c>
      <c r="K120" t="s">
        <v>101</v>
      </c>
      <c r="L120" t="s">
        <v>61</v>
      </c>
      <c r="M120" t="s">
        <v>17</v>
      </c>
      <c r="N120" t="s">
        <v>774</v>
      </c>
    </row>
    <row r="121" spans="1:14" ht="60" x14ac:dyDescent="0.25">
      <c r="A121" s="84">
        <v>45839.676631944443</v>
      </c>
      <c r="B121" s="83">
        <v>36</v>
      </c>
      <c r="C121" s="83" t="s">
        <v>151</v>
      </c>
      <c r="D121" s="83" t="s">
        <v>21</v>
      </c>
      <c r="E121" s="83" t="s">
        <v>153</v>
      </c>
      <c r="I121" s="99">
        <v>45853.360775462963</v>
      </c>
      <c r="J121">
        <v>24</v>
      </c>
      <c r="K121" t="s">
        <v>103</v>
      </c>
      <c r="L121" t="s">
        <v>68</v>
      </c>
      <c r="M121" t="s">
        <v>17</v>
      </c>
      <c r="N121" t="s">
        <v>775</v>
      </c>
    </row>
    <row r="122" spans="1:14" ht="45" x14ac:dyDescent="0.25">
      <c r="A122" s="84">
        <v>45839.676631944443</v>
      </c>
      <c r="B122" s="83">
        <v>37</v>
      </c>
      <c r="C122" s="83" t="s">
        <v>154</v>
      </c>
      <c r="D122" s="83" t="s">
        <v>21</v>
      </c>
      <c r="E122" s="83" t="s">
        <v>156</v>
      </c>
      <c r="I122" s="99">
        <v>45853.360775462963</v>
      </c>
      <c r="J122">
        <v>25</v>
      </c>
      <c r="K122" t="s">
        <v>108</v>
      </c>
      <c r="L122" t="s">
        <v>68</v>
      </c>
      <c r="M122" t="s">
        <v>17</v>
      </c>
      <c r="N122" t="s">
        <v>776</v>
      </c>
    </row>
    <row r="123" spans="1:14" ht="30" x14ac:dyDescent="0.25">
      <c r="A123" s="84">
        <v>45839.676631944443</v>
      </c>
      <c r="B123" s="83">
        <v>38</v>
      </c>
      <c r="C123" s="83" t="s">
        <v>158</v>
      </c>
      <c r="D123" s="83" t="s">
        <v>55</v>
      </c>
      <c r="E123" s="83" t="s">
        <v>84</v>
      </c>
      <c r="I123" s="99">
        <v>45853.36078703704</v>
      </c>
      <c r="J123">
        <v>26</v>
      </c>
      <c r="K123" t="s">
        <v>110</v>
      </c>
      <c r="L123" t="s">
        <v>61</v>
      </c>
      <c r="M123" t="s">
        <v>17</v>
      </c>
      <c r="N123" t="s">
        <v>777</v>
      </c>
    </row>
    <row r="124" spans="1:14" ht="30" x14ac:dyDescent="0.25">
      <c r="A124" s="84">
        <v>45839.676631944443</v>
      </c>
      <c r="B124" s="83">
        <v>39</v>
      </c>
      <c r="C124" s="83" t="s">
        <v>160</v>
      </c>
      <c r="D124" s="83" t="s">
        <v>55</v>
      </c>
      <c r="E124" s="83" t="s">
        <v>84</v>
      </c>
      <c r="I124" s="99">
        <v>45853.36078703704</v>
      </c>
      <c r="J124">
        <v>27</v>
      </c>
      <c r="K124" t="s">
        <v>117</v>
      </c>
      <c r="L124" t="s">
        <v>68</v>
      </c>
      <c r="M124" t="s">
        <v>17</v>
      </c>
      <c r="N124" t="s">
        <v>778</v>
      </c>
    </row>
    <row r="125" spans="1:14" ht="30" x14ac:dyDescent="0.25">
      <c r="A125" s="84">
        <v>45839.67664351852</v>
      </c>
      <c r="B125" s="83">
        <v>40</v>
      </c>
      <c r="C125" s="83" t="s">
        <v>163</v>
      </c>
      <c r="D125" s="83" t="s">
        <v>55</v>
      </c>
      <c r="E125" s="83" t="s">
        <v>84</v>
      </c>
      <c r="I125" s="99">
        <v>45853.36078703704</v>
      </c>
      <c r="J125">
        <v>28</v>
      </c>
      <c r="K125" t="s">
        <v>122</v>
      </c>
      <c r="L125" t="s">
        <v>68</v>
      </c>
      <c r="M125" t="s">
        <v>17</v>
      </c>
      <c r="N125" t="s">
        <v>779</v>
      </c>
    </row>
    <row r="126" spans="1:14" ht="30" x14ac:dyDescent="0.25">
      <c r="A126" s="84">
        <v>45839.67664351852</v>
      </c>
      <c r="B126" s="83">
        <v>41</v>
      </c>
      <c r="C126" s="83" t="s">
        <v>166</v>
      </c>
      <c r="D126" s="83" t="s">
        <v>55</v>
      </c>
      <c r="E126" s="83" t="s">
        <v>168</v>
      </c>
      <c r="I126" s="99">
        <v>45853.360798611109</v>
      </c>
      <c r="J126">
        <v>29</v>
      </c>
      <c r="K126" t="s">
        <v>125</v>
      </c>
      <c r="L126" t="s">
        <v>736</v>
      </c>
      <c r="M126" t="s">
        <v>17</v>
      </c>
      <c r="N126" t="s">
        <v>780</v>
      </c>
    </row>
    <row r="127" spans="1:14" ht="120" x14ac:dyDescent="0.25">
      <c r="A127" s="84">
        <v>45839.67664351852</v>
      </c>
      <c r="B127" s="83">
        <v>42</v>
      </c>
      <c r="C127" s="83" t="s">
        <v>169</v>
      </c>
      <c r="D127" s="83" t="s">
        <v>55</v>
      </c>
      <c r="E127" s="83" t="s">
        <v>171</v>
      </c>
      <c r="I127" s="99">
        <v>45853.360798611109</v>
      </c>
      <c r="J127">
        <v>30</v>
      </c>
      <c r="K127" t="s">
        <v>132</v>
      </c>
      <c r="L127" t="s">
        <v>61</v>
      </c>
      <c r="M127" t="s">
        <v>17</v>
      </c>
      <c r="N127" t="s">
        <v>781</v>
      </c>
    </row>
    <row r="128" spans="1:14" ht="30" x14ac:dyDescent="0.25">
      <c r="A128" s="84">
        <v>45839.67664351852</v>
      </c>
      <c r="B128" s="83">
        <v>43</v>
      </c>
      <c r="C128" s="83" t="s">
        <v>175</v>
      </c>
      <c r="D128" s="83" t="s">
        <v>21</v>
      </c>
      <c r="E128" s="83" t="s">
        <v>177</v>
      </c>
      <c r="I128" s="99">
        <v>45853.360810185186</v>
      </c>
      <c r="J128">
        <v>31</v>
      </c>
      <c r="K128" t="s">
        <v>137</v>
      </c>
      <c r="L128" t="s">
        <v>61</v>
      </c>
      <c r="M128" t="s">
        <v>75</v>
      </c>
      <c r="N128" t="s">
        <v>782</v>
      </c>
    </row>
    <row r="129" spans="1:14" ht="30" x14ac:dyDescent="0.25">
      <c r="A129" s="84">
        <v>45839.67664351852</v>
      </c>
      <c r="B129" s="83">
        <v>44</v>
      </c>
      <c r="C129" s="83" t="s">
        <v>179</v>
      </c>
      <c r="D129" s="83" t="s">
        <v>26</v>
      </c>
      <c r="E129" s="83" t="s">
        <v>181</v>
      </c>
      <c r="I129" s="99">
        <v>45853.360810185186</v>
      </c>
      <c r="J129">
        <v>32</v>
      </c>
      <c r="K129" t="s">
        <v>139</v>
      </c>
      <c r="L129" t="s">
        <v>61</v>
      </c>
      <c r="M129" t="s">
        <v>75</v>
      </c>
      <c r="N129" t="s">
        <v>783</v>
      </c>
    </row>
    <row r="130" spans="1:14" ht="45" x14ac:dyDescent="0.25">
      <c r="A130" s="84">
        <v>45839.67664351852</v>
      </c>
      <c r="B130" s="83">
        <v>45</v>
      </c>
      <c r="C130" s="83" t="s">
        <v>185</v>
      </c>
      <c r="D130" s="83" t="s">
        <v>21</v>
      </c>
      <c r="E130" s="83" t="s">
        <v>586</v>
      </c>
      <c r="I130" s="99">
        <v>45853.360810185186</v>
      </c>
      <c r="J130">
        <v>33</v>
      </c>
      <c r="K130" t="s">
        <v>141</v>
      </c>
      <c r="L130" t="s">
        <v>736</v>
      </c>
      <c r="M130" t="s">
        <v>59</v>
      </c>
      <c r="N130" t="s">
        <v>784</v>
      </c>
    </row>
    <row r="131" spans="1:14" ht="30" x14ac:dyDescent="0.25">
      <c r="A131" s="84">
        <v>45839.67664351852</v>
      </c>
      <c r="B131" s="83">
        <v>46</v>
      </c>
      <c r="C131" s="83" t="s">
        <v>190</v>
      </c>
      <c r="D131" s="83" t="s">
        <v>55</v>
      </c>
      <c r="E131" s="83" t="s">
        <v>84</v>
      </c>
      <c r="I131" s="99">
        <v>45853.360821759263</v>
      </c>
      <c r="J131">
        <v>34</v>
      </c>
      <c r="K131" t="s">
        <v>144</v>
      </c>
      <c r="L131" t="s">
        <v>736</v>
      </c>
      <c r="M131" t="s">
        <v>17</v>
      </c>
      <c r="N131" t="s">
        <v>785</v>
      </c>
    </row>
    <row r="132" spans="1:14" ht="30" x14ac:dyDescent="0.25">
      <c r="A132" s="84">
        <v>45839.676655092589</v>
      </c>
      <c r="B132" s="83">
        <v>47</v>
      </c>
      <c r="C132" s="83" t="s">
        <v>193</v>
      </c>
      <c r="D132" s="83" t="s">
        <v>26</v>
      </c>
      <c r="E132" s="83" t="s">
        <v>195</v>
      </c>
      <c r="I132" s="99">
        <v>45853.360821759263</v>
      </c>
      <c r="J132">
        <v>35</v>
      </c>
      <c r="K132" t="s">
        <v>148</v>
      </c>
      <c r="L132" t="s">
        <v>736</v>
      </c>
      <c r="M132" t="s">
        <v>17</v>
      </c>
      <c r="N132" t="s">
        <v>786</v>
      </c>
    </row>
    <row r="133" spans="1:14" ht="30" x14ac:dyDescent="0.25">
      <c r="A133" s="84">
        <v>45839.676655092589</v>
      </c>
      <c r="B133" s="83">
        <v>48</v>
      </c>
      <c r="C133" s="83" t="s">
        <v>198</v>
      </c>
      <c r="D133" s="83" t="s">
        <v>21</v>
      </c>
      <c r="E133" s="83" t="s">
        <v>200</v>
      </c>
      <c r="I133" s="99">
        <v>45853.360821759263</v>
      </c>
      <c r="J133">
        <v>36</v>
      </c>
      <c r="K133" t="s">
        <v>151</v>
      </c>
      <c r="L133" t="s">
        <v>736</v>
      </c>
      <c r="M133" t="s">
        <v>17</v>
      </c>
      <c r="N133" t="s">
        <v>787</v>
      </c>
    </row>
    <row r="134" spans="1:14" ht="30" x14ac:dyDescent="0.25">
      <c r="A134" s="84">
        <v>45839.676655092589</v>
      </c>
      <c r="B134" s="83">
        <v>49</v>
      </c>
      <c r="C134" s="83" t="s">
        <v>201</v>
      </c>
      <c r="D134" s="83" t="s">
        <v>27</v>
      </c>
      <c r="E134" s="83" t="s">
        <v>203</v>
      </c>
      <c r="I134" s="99">
        <v>45853.360833333332</v>
      </c>
      <c r="J134">
        <v>37</v>
      </c>
      <c r="K134" t="s">
        <v>154</v>
      </c>
      <c r="L134" t="s">
        <v>736</v>
      </c>
      <c r="M134" t="s">
        <v>17</v>
      </c>
      <c r="N134" t="s">
        <v>788</v>
      </c>
    </row>
    <row r="135" spans="1:14" ht="45" x14ac:dyDescent="0.25">
      <c r="A135" s="84">
        <v>45839.676655092589</v>
      </c>
      <c r="B135" s="83">
        <v>50</v>
      </c>
      <c r="C135" s="83" t="s">
        <v>205</v>
      </c>
      <c r="D135" s="83" t="s">
        <v>55</v>
      </c>
      <c r="E135" s="83" t="s">
        <v>208</v>
      </c>
      <c r="I135" s="99">
        <v>45853.360833333332</v>
      </c>
      <c r="J135">
        <v>38</v>
      </c>
      <c r="K135" t="s">
        <v>158</v>
      </c>
      <c r="L135" t="s">
        <v>61</v>
      </c>
      <c r="M135" t="s">
        <v>75</v>
      </c>
      <c r="N135" t="s">
        <v>789</v>
      </c>
    </row>
    <row r="136" spans="1:14" ht="30" x14ac:dyDescent="0.25">
      <c r="A136" s="84">
        <v>45839.676655092589</v>
      </c>
      <c r="B136" s="83">
        <v>51</v>
      </c>
      <c r="C136" s="83" t="s">
        <v>211</v>
      </c>
      <c r="D136" s="83" t="s">
        <v>27</v>
      </c>
      <c r="E136" s="83" t="s">
        <v>213</v>
      </c>
      <c r="I136" s="99">
        <v>45853.360833333332</v>
      </c>
      <c r="J136">
        <v>39</v>
      </c>
      <c r="K136" t="s">
        <v>160</v>
      </c>
      <c r="L136" t="s">
        <v>61</v>
      </c>
      <c r="M136" t="s">
        <v>75</v>
      </c>
      <c r="N136" t="s">
        <v>790</v>
      </c>
    </row>
    <row r="137" spans="1:14" ht="30" x14ac:dyDescent="0.25">
      <c r="A137" s="84">
        <v>45839.676655092589</v>
      </c>
      <c r="B137" s="83">
        <v>52</v>
      </c>
      <c r="C137" s="83" t="s">
        <v>215</v>
      </c>
      <c r="D137" s="83" t="s">
        <v>27</v>
      </c>
      <c r="E137" s="83" t="s">
        <v>218</v>
      </c>
      <c r="I137" s="99">
        <v>45853.360844907409</v>
      </c>
      <c r="J137">
        <v>40</v>
      </c>
      <c r="K137" t="s">
        <v>163</v>
      </c>
      <c r="L137" t="s">
        <v>61</v>
      </c>
      <c r="M137" t="s">
        <v>75</v>
      </c>
      <c r="N137" t="s">
        <v>791</v>
      </c>
    </row>
    <row r="138" spans="1:14" ht="30" x14ac:dyDescent="0.25">
      <c r="A138" s="84">
        <v>45839.676666666666</v>
      </c>
      <c r="B138" s="83">
        <v>53</v>
      </c>
      <c r="C138" s="83" t="s">
        <v>220</v>
      </c>
      <c r="D138" s="83" t="s">
        <v>27</v>
      </c>
      <c r="E138" s="83" t="s">
        <v>222</v>
      </c>
      <c r="I138" s="99">
        <v>45853.360844907409</v>
      </c>
      <c r="J138">
        <v>41</v>
      </c>
      <c r="K138" t="s">
        <v>166</v>
      </c>
      <c r="L138" t="s">
        <v>61</v>
      </c>
      <c r="M138" t="s">
        <v>75</v>
      </c>
      <c r="N138" t="s">
        <v>792</v>
      </c>
    </row>
    <row r="139" spans="1:14" ht="30" x14ac:dyDescent="0.25">
      <c r="A139" s="84">
        <v>45839.676666666666</v>
      </c>
      <c r="B139" s="83">
        <v>54</v>
      </c>
      <c r="C139" s="83" t="s">
        <v>225</v>
      </c>
      <c r="D139" s="83" t="s">
        <v>27</v>
      </c>
      <c r="E139" s="83" t="s">
        <v>228</v>
      </c>
      <c r="I139" s="99">
        <v>45853.360856481479</v>
      </c>
      <c r="J139">
        <v>42</v>
      </c>
      <c r="K139" t="s">
        <v>169</v>
      </c>
      <c r="L139" t="s">
        <v>61</v>
      </c>
      <c r="M139" t="s">
        <v>17</v>
      </c>
      <c r="N139" t="s">
        <v>793</v>
      </c>
    </row>
    <row r="140" spans="1:14" ht="60" x14ac:dyDescent="0.25">
      <c r="A140" s="84">
        <v>45839.676666666666</v>
      </c>
      <c r="B140" s="83">
        <v>55</v>
      </c>
      <c r="C140" s="83" t="s">
        <v>230</v>
      </c>
      <c r="D140" s="83" t="s">
        <v>27</v>
      </c>
      <c r="E140" s="83" t="s">
        <v>232</v>
      </c>
      <c r="I140" s="99">
        <v>45853.360856481479</v>
      </c>
      <c r="J140">
        <v>43</v>
      </c>
      <c r="K140" t="s">
        <v>175</v>
      </c>
      <c r="L140" t="s">
        <v>68</v>
      </c>
      <c r="M140" t="s">
        <v>75</v>
      </c>
      <c r="N140" t="s">
        <v>794</v>
      </c>
    </row>
    <row r="141" spans="1:14" ht="30" x14ac:dyDescent="0.25">
      <c r="A141" s="84">
        <v>45839.676666666666</v>
      </c>
      <c r="B141" s="83">
        <v>56</v>
      </c>
      <c r="C141" s="83" t="s">
        <v>236</v>
      </c>
      <c r="D141" s="83" t="s">
        <v>27</v>
      </c>
      <c r="E141" s="83" t="s">
        <v>238</v>
      </c>
      <c r="I141" s="99">
        <v>45853.360856481479</v>
      </c>
      <c r="J141">
        <v>44</v>
      </c>
      <c r="K141" t="s">
        <v>179</v>
      </c>
      <c r="L141" t="s">
        <v>736</v>
      </c>
      <c r="M141" t="s">
        <v>17</v>
      </c>
      <c r="N141" t="s">
        <v>795</v>
      </c>
    </row>
    <row r="142" spans="1:14" ht="30" x14ac:dyDescent="0.25">
      <c r="A142" s="84">
        <v>45839.676666666666</v>
      </c>
      <c r="B142" s="83">
        <v>57</v>
      </c>
      <c r="C142" s="83" t="s">
        <v>241</v>
      </c>
      <c r="D142" s="83" t="s">
        <v>31</v>
      </c>
      <c r="E142" s="83" t="s">
        <v>243</v>
      </c>
      <c r="I142" s="99">
        <v>45853.360856481479</v>
      </c>
      <c r="J142">
        <v>45</v>
      </c>
      <c r="K142" t="s">
        <v>185</v>
      </c>
      <c r="L142" t="s">
        <v>736</v>
      </c>
      <c r="M142" t="s">
        <v>17</v>
      </c>
      <c r="N142" t="s">
        <v>796</v>
      </c>
    </row>
    <row r="143" spans="1:14" ht="45" x14ac:dyDescent="0.25">
      <c r="A143" s="84">
        <v>45839.676666666666</v>
      </c>
      <c r="B143" s="83">
        <v>58</v>
      </c>
      <c r="C143" s="83" t="s">
        <v>246</v>
      </c>
      <c r="D143" s="83" t="s">
        <v>31</v>
      </c>
      <c r="E143" s="83" t="s">
        <v>248</v>
      </c>
      <c r="I143" s="99">
        <v>45853.360856481479</v>
      </c>
      <c r="J143">
        <v>46</v>
      </c>
      <c r="K143" t="s">
        <v>190</v>
      </c>
      <c r="L143" t="s">
        <v>61</v>
      </c>
      <c r="M143" t="s">
        <v>17</v>
      </c>
      <c r="N143" t="s">
        <v>797</v>
      </c>
    </row>
    <row r="144" spans="1:14" ht="45" x14ac:dyDescent="0.25">
      <c r="A144" s="84">
        <v>45839.676678240743</v>
      </c>
      <c r="B144" s="83">
        <v>59</v>
      </c>
      <c r="C144" s="83" t="s">
        <v>250</v>
      </c>
      <c r="D144" s="83" t="s">
        <v>28</v>
      </c>
      <c r="E144" s="83" t="s">
        <v>253</v>
      </c>
      <c r="I144" s="99">
        <v>45853.360856481479</v>
      </c>
      <c r="J144">
        <v>47</v>
      </c>
      <c r="K144" t="s">
        <v>193</v>
      </c>
      <c r="L144" t="s">
        <v>68</v>
      </c>
      <c r="M144" t="s">
        <v>17</v>
      </c>
      <c r="N144" t="s">
        <v>798</v>
      </c>
    </row>
    <row r="145" spans="1:14" ht="30" x14ac:dyDescent="0.25">
      <c r="A145" s="84">
        <v>45839.676678240743</v>
      </c>
      <c r="B145" s="83">
        <v>60</v>
      </c>
      <c r="C145" s="83" t="s">
        <v>255</v>
      </c>
      <c r="D145" s="83" t="s">
        <v>28</v>
      </c>
      <c r="E145" s="83" t="s">
        <v>258</v>
      </c>
      <c r="I145" s="99">
        <v>45853.360868055555</v>
      </c>
      <c r="J145">
        <v>48</v>
      </c>
      <c r="K145" t="s">
        <v>198</v>
      </c>
      <c r="L145" t="s">
        <v>736</v>
      </c>
      <c r="M145" t="s">
        <v>75</v>
      </c>
      <c r="N145" t="s">
        <v>799</v>
      </c>
    </row>
    <row r="146" spans="1:14" ht="30" x14ac:dyDescent="0.25">
      <c r="A146" s="84">
        <v>45839.676678240743</v>
      </c>
      <c r="B146" s="83">
        <v>61</v>
      </c>
      <c r="C146" s="83" t="s">
        <v>260</v>
      </c>
      <c r="D146" s="83" t="s">
        <v>29</v>
      </c>
      <c r="E146" s="83" t="s">
        <v>262</v>
      </c>
      <c r="I146" s="99">
        <v>45853.360868055555</v>
      </c>
      <c r="J146">
        <v>49</v>
      </c>
      <c r="K146" t="s">
        <v>201</v>
      </c>
      <c r="L146" t="s">
        <v>61</v>
      </c>
      <c r="M146" t="s">
        <v>75</v>
      </c>
      <c r="N146" t="s">
        <v>800</v>
      </c>
    </row>
    <row r="147" spans="1:14" ht="60" x14ac:dyDescent="0.25">
      <c r="A147" s="84">
        <v>45839.676678240743</v>
      </c>
      <c r="B147" s="83">
        <v>62</v>
      </c>
      <c r="C147" s="83" t="s">
        <v>264</v>
      </c>
      <c r="D147" s="83" t="s">
        <v>21</v>
      </c>
      <c r="E147" s="83" t="s">
        <v>266</v>
      </c>
      <c r="I147" s="99">
        <v>45853.360868055555</v>
      </c>
      <c r="J147">
        <v>50</v>
      </c>
      <c r="K147" t="s">
        <v>205</v>
      </c>
      <c r="L147" t="s">
        <v>61</v>
      </c>
      <c r="M147" t="s">
        <v>75</v>
      </c>
      <c r="N147" t="s">
        <v>801</v>
      </c>
    </row>
    <row r="148" spans="1:14" ht="105" x14ac:dyDescent="0.25">
      <c r="A148" s="84">
        <v>45839.676678240743</v>
      </c>
      <c r="B148" s="83">
        <v>63</v>
      </c>
      <c r="C148" s="83" t="s">
        <v>267</v>
      </c>
      <c r="D148" s="83" t="s">
        <v>21</v>
      </c>
      <c r="E148" s="83" t="s">
        <v>269</v>
      </c>
      <c r="I148" s="99">
        <v>45853.360868055555</v>
      </c>
      <c r="J148">
        <v>51</v>
      </c>
      <c r="K148" t="s">
        <v>211</v>
      </c>
      <c r="L148" t="s">
        <v>736</v>
      </c>
      <c r="M148" t="s">
        <v>17</v>
      </c>
      <c r="N148" t="s">
        <v>802</v>
      </c>
    </row>
    <row r="149" spans="1:14" ht="135" x14ac:dyDescent="0.25">
      <c r="A149" s="84">
        <v>45839.676678240743</v>
      </c>
      <c r="B149" s="83">
        <v>64</v>
      </c>
      <c r="C149" s="83" t="s">
        <v>270</v>
      </c>
      <c r="D149" s="83" t="s">
        <v>25</v>
      </c>
      <c r="E149" s="83" t="s">
        <v>272</v>
      </c>
      <c r="I149" s="99">
        <v>45853.360868055555</v>
      </c>
      <c r="J149">
        <v>52</v>
      </c>
      <c r="K149" t="s">
        <v>215</v>
      </c>
      <c r="L149" t="s">
        <v>68</v>
      </c>
      <c r="M149" t="s">
        <v>17</v>
      </c>
      <c r="N149" t="s">
        <v>803</v>
      </c>
    </row>
    <row r="150" spans="1:14" ht="30" x14ac:dyDescent="0.25">
      <c r="A150" s="84">
        <v>45839.676678240743</v>
      </c>
      <c r="B150" s="83">
        <v>65</v>
      </c>
      <c r="C150" s="83" t="s">
        <v>273</v>
      </c>
      <c r="D150" s="83" t="s">
        <v>21</v>
      </c>
      <c r="E150" s="83" t="s">
        <v>275</v>
      </c>
      <c r="I150" s="99">
        <v>45853.360879629632</v>
      </c>
      <c r="J150">
        <v>53</v>
      </c>
      <c r="K150" t="s">
        <v>220</v>
      </c>
      <c r="L150" t="s">
        <v>68</v>
      </c>
      <c r="M150" t="s">
        <v>17</v>
      </c>
      <c r="N150" t="s">
        <v>804</v>
      </c>
    </row>
    <row r="151" spans="1:14" ht="60" x14ac:dyDescent="0.25">
      <c r="A151" s="84">
        <v>45839.676678240743</v>
      </c>
      <c r="B151" s="83">
        <v>66</v>
      </c>
      <c r="C151" s="83" t="s">
        <v>277</v>
      </c>
      <c r="D151" s="83" t="s">
        <v>21</v>
      </c>
      <c r="E151" s="83" t="s">
        <v>279</v>
      </c>
      <c r="I151" s="99">
        <v>45853.360879629632</v>
      </c>
      <c r="J151">
        <v>54</v>
      </c>
      <c r="K151" t="s">
        <v>225</v>
      </c>
      <c r="L151" t="s">
        <v>68</v>
      </c>
      <c r="M151" t="s">
        <v>17</v>
      </c>
      <c r="N151" t="s">
        <v>805</v>
      </c>
    </row>
    <row r="152" spans="1:14" ht="30" x14ac:dyDescent="0.25">
      <c r="A152" s="84">
        <v>45839.676678240743</v>
      </c>
      <c r="B152" s="83">
        <v>67</v>
      </c>
      <c r="C152" s="83" t="s">
        <v>280</v>
      </c>
      <c r="D152" s="83" t="s">
        <v>29</v>
      </c>
      <c r="E152" s="83" t="s">
        <v>282</v>
      </c>
      <c r="I152" s="99">
        <v>45853.360879629632</v>
      </c>
      <c r="J152">
        <v>55</v>
      </c>
      <c r="K152" t="s">
        <v>230</v>
      </c>
      <c r="L152" t="s">
        <v>68</v>
      </c>
      <c r="M152" t="s">
        <v>17</v>
      </c>
      <c r="N152" t="s">
        <v>806</v>
      </c>
    </row>
    <row r="153" spans="1:14" ht="75" x14ac:dyDescent="0.25">
      <c r="A153" s="84">
        <v>45839.676678240743</v>
      </c>
      <c r="B153" s="83">
        <v>68</v>
      </c>
      <c r="C153" s="83" t="s">
        <v>286</v>
      </c>
      <c r="D153" s="83" t="s">
        <v>21</v>
      </c>
      <c r="E153" s="83" t="s">
        <v>288</v>
      </c>
      <c r="I153" s="99">
        <v>45853.360879629632</v>
      </c>
      <c r="J153">
        <v>56</v>
      </c>
      <c r="K153" t="s">
        <v>236</v>
      </c>
      <c r="L153" t="s">
        <v>68</v>
      </c>
      <c r="M153" t="s">
        <v>75</v>
      </c>
      <c r="N153" t="s">
        <v>807</v>
      </c>
    </row>
    <row r="154" spans="1:14" ht="75" x14ac:dyDescent="0.25">
      <c r="A154" s="84">
        <v>45839.676678240743</v>
      </c>
      <c r="B154" s="83">
        <v>69</v>
      </c>
      <c r="C154" s="83" t="s">
        <v>290</v>
      </c>
      <c r="D154" s="83" t="s">
        <v>21</v>
      </c>
      <c r="E154" s="83" t="s">
        <v>292</v>
      </c>
      <c r="I154" s="99">
        <v>45853.360879629632</v>
      </c>
      <c r="J154">
        <v>57</v>
      </c>
      <c r="K154" t="s">
        <v>241</v>
      </c>
      <c r="L154" t="s">
        <v>61</v>
      </c>
      <c r="M154" t="s">
        <v>17</v>
      </c>
      <c r="N154" t="s">
        <v>808</v>
      </c>
    </row>
    <row r="155" spans="1:14" ht="60" x14ac:dyDescent="0.25">
      <c r="A155" s="84">
        <v>45839.676689814813</v>
      </c>
      <c r="B155" s="83">
        <v>70</v>
      </c>
      <c r="C155" s="83" t="s">
        <v>295</v>
      </c>
      <c r="D155" s="83" t="s">
        <v>29</v>
      </c>
      <c r="E155" s="83" t="s">
        <v>600</v>
      </c>
      <c r="I155" s="99">
        <v>45853.360891203702</v>
      </c>
      <c r="J155">
        <v>58</v>
      </c>
      <c r="K155" t="s">
        <v>246</v>
      </c>
      <c r="L155" t="s">
        <v>61</v>
      </c>
      <c r="M155" t="s">
        <v>17</v>
      </c>
      <c r="N155" t="s">
        <v>809</v>
      </c>
    </row>
    <row r="156" spans="1:14" ht="30" x14ac:dyDescent="0.25">
      <c r="A156" s="84">
        <v>45839.676689814813</v>
      </c>
      <c r="B156" s="83">
        <v>71</v>
      </c>
      <c r="C156" s="83" t="s">
        <v>299</v>
      </c>
      <c r="D156" s="83" t="s">
        <v>55</v>
      </c>
      <c r="E156" s="83" t="s">
        <v>301</v>
      </c>
      <c r="I156" s="99">
        <v>45853.360891203702</v>
      </c>
      <c r="J156">
        <v>59</v>
      </c>
      <c r="K156" t="s">
        <v>250</v>
      </c>
      <c r="L156" t="s">
        <v>68</v>
      </c>
      <c r="M156" t="s">
        <v>17</v>
      </c>
      <c r="N156" t="s">
        <v>810</v>
      </c>
    </row>
    <row r="157" spans="1:14" ht="30" x14ac:dyDescent="0.25">
      <c r="A157" s="84">
        <v>45839.676689814813</v>
      </c>
      <c r="B157" s="83">
        <v>72</v>
      </c>
      <c r="C157" s="83" t="s">
        <v>302</v>
      </c>
      <c r="D157" s="83" t="s">
        <v>55</v>
      </c>
      <c r="E157" s="83" t="s">
        <v>304</v>
      </c>
      <c r="I157" s="99">
        <v>45853.360891203702</v>
      </c>
      <c r="J157">
        <v>60</v>
      </c>
      <c r="K157" t="s">
        <v>255</v>
      </c>
      <c r="L157" t="s">
        <v>68</v>
      </c>
      <c r="M157" t="s">
        <v>17</v>
      </c>
      <c r="N157" t="s">
        <v>811</v>
      </c>
    </row>
    <row r="158" spans="1:14" ht="30" x14ac:dyDescent="0.25">
      <c r="A158" s="84">
        <v>45839.676689814813</v>
      </c>
      <c r="B158" s="83">
        <v>73</v>
      </c>
      <c r="C158" s="83" t="s">
        <v>305</v>
      </c>
      <c r="D158" s="83" t="s">
        <v>55</v>
      </c>
      <c r="E158" s="83" t="s">
        <v>307</v>
      </c>
      <c r="I158" s="99">
        <v>45853.360891203702</v>
      </c>
      <c r="J158">
        <v>61</v>
      </c>
      <c r="K158" t="s">
        <v>264</v>
      </c>
      <c r="L158" t="s">
        <v>736</v>
      </c>
      <c r="M158" t="s">
        <v>17</v>
      </c>
      <c r="N158" t="s">
        <v>812</v>
      </c>
    </row>
    <row r="159" spans="1:14" ht="45" x14ac:dyDescent="0.25">
      <c r="A159" s="84">
        <v>45839.676689814813</v>
      </c>
      <c r="B159" s="83">
        <v>74</v>
      </c>
      <c r="C159" s="83" t="s">
        <v>308</v>
      </c>
      <c r="D159" s="83" t="s">
        <v>55</v>
      </c>
      <c r="E159" s="83" t="s">
        <v>310</v>
      </c>
      <c r="I159" s="99">
        <v>45853.360891203702</v>
      </c>
      <c r="J159">
        <v>62</v>
      </c>
      <c r="K159" t="s">
        <v>267</v>
      </c>
      <c r="L159" t="s">
        <v>736</v>
      </c>
      <c r="M159" t="s">
        <v>17</v>
      </c>
      <c r="N159" t="s">
        <v>813</v>
      </c>
    </row>
    <row r="160" spans="1:14" ht="30" x14ac:dyDescent="0.25">
      <c r="A160" s="84">
        <v>45839.676689814813</v>
      </c>
      <c r="B160" s="83">
        <v>75</v>
      </c>
      <c r="C160" s="83" t="s">
        <v>311</v>
      </c>
      <c r="D160" s="83" t="s">
        <v>55</v>
      </c>
      <c r="E160" s="83" t="s">
        <v>313</v>
      </c>
      <c r="I160" s="99">
        <v>45853.360891203702</v>
      </c>
      <c r="J160">
        <v>63</v>
      </c>
      <c r="K160" t="s">
        <v>270</v>
      </c>
      <c r="L160" t="s">
        <v>61</v>
      </c>
      <c r="M160" t="s">
        <v>17</v>
      </c>
      <c r="N160" t="s">
        <v>814</v>
      </c>
    </row>
    <row r="161" spans="1:14" ht="30" x14ac:dyDescent="0.25">
      <c r="A161" s="84">
        <v>45839.676689814813</v>
      </c>
      <c r="B161" s="83">
        <v>76</v>
      </c>
      <c r="C161" s="83" t="s">
        <v>314</v>
      </c>
      <c r="D161" s="83" t="s">
        <v>29</v>
      </c>
      <c r="E161" s="83" t="s">
        <v>316</v>
      </c>
      <c r="I161" s="99">
        <v>45853.360902777778</v>
      </c>
      <c r="J161">
        <v>64</v>
      </c>
      <c r="K161" t="s">
        <v>273</v>
      </c>
      <c r="L161" t="s">
        <v>736</v>
      </c>
      <c r="M161" t="s">
        <v>75</v>
      </c>
      <c r="N161" t="s">
        <v>815</v>
      </c>
    </row>
    <row r="162" spans="1:14" ht="30" x14ac:dyDescent="0.25">
      <c r="A162" s="84">
        <v>45839.676689814813</v>
      </c>
      <c r="B162" s="83">
        <v>77</v>
      </c>
      <c r="C162" s="83" t="s">
        <v>318</v>
      </c>
      <c r="D162" s="83" t="s">
        <v>30</v>
      </c>
      <c r="E162" s="83" t="s">
        <v>320</v>
      </c>
      <c r="I162" s="99">
        <v>45853.360902777778</v>
      </c>
      <c r="J162">
        <v>65</v>
      </c>
      <c r="K162" t="s">
        <v>277</v>
      </c>
      <c r="L162" t="s">
        <v>736</v>
      </c>
      <c r="M162" t="s">
        <v>17</v>
      </c>
      <c r="N162" t="s">
        <v>816</v>
      </c>
    </row>
    <row r="163" spans="1:14" ht="30" x14ac:dyDescent="0.25">
      <c r="A163" s="84">
        <v>45839.676701388889</v>
      </c>
      <c r="B163" s="83">
        <v>78</v>
      </c>
      <c r="C163" s="83" t="s">
        <v>323</v>
      </c>
      <c r="D163" s="83" t="s">
        <v>30</v>
      </c>
      <c r="E163" s="83" t="s">
        <v>326</v>
      </c>
      <c r="I163" s="99">
        <v>45853.360902777778</v>
      </c>
      <c r="J163">
        <v>66</v>
      </c>
      <c r="K163" t="s">
        <v>280</v>
      </c>
      <c r="L163" t="s">
        <v>68</v>
      </c>
      <c r="M163" t="s">
        <v>17</v>
      </c>
      <c r="N163" t="s">
        <v>817</v>
      </c>
    </row>
    <row r="164" spans="1:14" ht="30" x14ac:dyDescent="0.25">
      <c r="A164" s="84">
        <v>45839.676701388889</v>
      </c>
      <c r="B164" s="83">
        <v>79</v>
      </c>
      <c r="C164" s="83" t="s">
        <v>328</v>
      </c>
      <c r="D164" s="83" t="s">
        <v>55</v>
      </c>
      <c r="E164" s="83" t="s">
        <v>330</v>
      </c>
      <c r="I164" s="99">
        <v>45853.360902777778</v>
      </c>
      <c r="J164">
        <v>67</v>
      </c>
      <c r="K164" t="s">
        <v>286</v>
      </c>
      <c r="L164" t="s">
        <v>736</v>
      </c>
      <c r="M164" t="s">
        <v>75</v>
      </c>
      <c r="N164" t="s">
        <v>818</v>
      </c>
    </row>
    <row r="165" spans="1:14" ht="30" x14ac:dyDescent="0.25">
      <c r="A165" s="84">
        <v>45839.676701388889</v>
      </c>
      <c r="B165" s="83">
        <v>80</v>
      </c>
      <c r="C165" s="83" t="s">
        <v>332</v>
      </c>
      <c r="D165" s="83" t="s">
        <v>30</v>
      </c>
      <c r="E165" s="83" t="s">
        <v>335</v>
      </c>
      <c r="I165" s="99">
        <v>45853.360902777778</v>
      </c>
      <c r="J165">
        <v>68</v>
      </c>
      <c r="K165" t="s">
        <v>290</v>
      </c>
      <c r="L165" t="s">
        <v>736</v>
      </c>
      <c r="M165" t="s">
        <v>75</v>
      </c>
      <c r="N165" t="s">
        <v>819</v>
      </c>
    </row>
    <row r="166" spans="1:14" ht="45" x14ac:dyDescent="0.25">
      <c r="A166" s="84">
        <v>45839.676701388889</v>
      </c>
      <c r="B166" s="83">
        <v>81</v>
      </c>
      <c r="C166" s="83" t="s">
        <v>338</v>
      </c>
      <c r="D166" s="83" t="s">
        <v>21</v>
      </c>
      <c r="E166" s="83" t="s">
        <v>340</v>
      </c>
      <c r="I166" s="99">
        <v>45853.360902777778</v>
      </c>
      <c r="J166">
        <v>69</v>
      </c>
      <c r="K166" t="s">
        <v>295</v>
      </c>
      <c r="L166" t="s">
        <v>68</v>
      </c>
      <c r="M166" t="s">
        <v>17</v>
      </c>
      <c r="N166" t="s">
        <v>820</v>
      </c>
    </row>
    <row r="167" spans="1:14" ht="30" x14ac:dyDescent="0.25">
      <c r="A167" s="84">
        <v>45839.676701388889</v>
      </c>
      <c r="B167" s="83">
        <v>82</v>
      </c>
      <c r="C167" s="83" t="s">
        <v>345</v>
      </c>
      <c r="D167" s="83" t="s">
        <v>21</v>
      </c>
      <c r="E167" s="83"/>
      <c r="I167" s="99">
        <v>45853.360902777778</v>
      </c>
      <c r="J167">
        <v>70</v>
      </c>
      <c r="K167" t="s">
        <v>299</v>
      </c>
      <c r="L167" t="s">
        <v>61</v>
      </c>
      <c r="M167" t="s">
        <v>75</v>
      </c>
      <c r="N167" t="s">
        <v>821</v>
      </c>
    </row>
    <row r="168" spans="1:14" ht="30" x14ac:dyDescent="0.25">
      <c r="A168" s="84">
        <v>45839.676701388889</v>
      </c>
      <c r="B168" s="83">
        <v>83</v>
      </c>
      <c r="C168" s="83" t="s">
        <v>348</v>
      </c>
      <c r="D168" s="83" t="s">
        <v>21</v>
      </c>
      <c r="E168" s="83" t="s">
        <v>349</v>
      </c>
      <c r="I168" s="99">
        <v>45853.360902777778</v>
      </c>
      <c r="J168">
        <v>71</v>
      </c>
      <c r="K168" t="s">
        <v>302</v>
      </c>
      <c r="L168" t="s">
        <v>61</v>
      </c>
      <c r="M168" t="s">
        <v>75</v>
      </c>
      <c r="N168" t="s">
        <v>822</v>
      </c>
    </row>
    <row r="169" spans="1:14" ht="30" x14ac:dyDescent="0.25">
      <c r="A169" s="84">
        <v>45839.676701388889</v>
      </c>
      <c r="B169" s="83">
        <v>84</v>
      </c>
      <c r="C169" s="83" t="s">
        <v>351</v>
      </c>
      <c r="D169" s="83" t="s">
        <v>25</v>
      </c>
      <c r="E169" s="83" t="s">
        <v>591</v>
      </c>
      <c r="I169" s="99">
        <v>45853.360902777778</v>
      </c>
      <c r="J169">
        <v>72</v>
      </c>
      <c r="K169" t="s">
        <v>305</v>
      </c>
      <c r="L169" t="s">
        <v>61</v>
      </c>
      <c r="M169" t="s">
        <v>75</v>
      </c>
      <c r="N169" t="s">
        <v>823</v>
      </c>
    </row>
    <row r="170" spans="1:14" ht="45" x14ac:dyDescent="0.25">
      <c r="A170" s="84">
        <v>45839.676701388889</v>
      </c>
      <c r="B170" s="83">
        <v>85</v>
      </c>
      <c r="C170" s="83" t="s">
        <v>357</v>
      </c>
      <c r="D170" s="83" t="s">
        <v>30</v>
      </c>
      <c r="E170" s="83" t="s">
        <v>597</v>
      </c>
      <c r="I170" s="99">
        <v>45853.360902777778</v>
      </c>
      <c r="J170">
        <v>73</v>
      </c>
      <c r="K170" t="s">
        <v>308</v>
      </c>
      <c r="L170" t="s">
        <v>61</v>
      </c>
      <c r="M170" t="s">
        <v>75</v>
      </c>
      <c r="N170" t="s">
        <v>824</v>
      </c>
    </row>
    <row r="171" spans="1:14" ht="45" x14ac:dyDescent="0.25">
      <c r="A171" s="84">
        <v>45839.676701388889</v>
      </c>
      <c r="B171" s="83">
        <v>86</v>
      </c>
      <c r="C171" s="83" t="s">
        <v>360</v>
      </c>
      <c r="D171" s="83" t="s">
        <v>25</v>
      </c>
      <c r="E171" s="83" t="s">
        <v>362</v>
      </c>
      <c r="I171" s="99">
        <v>45853.360914351855</v>
      </c>
      <c r="J171">
        <v>74</v>
      </c>
      <c r="K171" t="s">
        <v>311</v>
      </c>
      <c r="L171" t="s">
        <v>61</v>
      </c>
      <c r="M171" t="s">
        <v>75</v>
      </c>
      <c r="N171" t="s">
        <v>825</v>
      </c>
    </row>
    <row r="172" spans="1:14" ht="30" x14ac:dyDescent="0.25">
      <c r="A172" s="84">
        <v>45839.676701388889</v>
      </c>
      <c r="B172" s="83">
        <v>87</v>
      </c>
      <c r="C172" s="83" t="s">
        <v>365</v>
      </c>
      <c r="D172" s="83" t="s">
        <v>21</v>
      </c>
      <c r="E172" s="83" t="s">
        <v>366</v>
      </c>
      <c r="I172" s="99">
        <v>45853.360914351855</v>
      </c>
      <c r="J172">
        <v>75</v>
      </c>
      <c r="K172" t="s">
        <v>314</v>
      </c>
      <c r="L172" t="s">
        <v>68</v>
      </c>
      <c r="M172" t="s">
        <v>17</v>
      </c>
      <c r="N172" t="s">
        <v>826</v>
      </c>
    </row>
    <row r="173" spans="1:14" ht="75" x14ac:dyDescent="0.25">
      <c r="A173" s="84">
        <v>45839.676701388889</v>
      </c>
      <c r="B173" s="83">
        <v>88</v>
      </c>
      <c r="C173" s="83" t="s">
        <v>368</v>
      </c>
      <c r="D173" s="83" t="s">
        <v>21</v>
      </c>
      <c r="E173" s="83" t="s">
        <v>369</v>
      </c>
      <c r="I173" s="99">
        <v>45853.360914351855</v>
      </c>
      <c r="J173">
        <v>76</v>
      </c>
      <c r="K173" t="s">
        <v>318</v>
      </c>
      <c r="L173" t="s">
        <v>68</v>
      </c>
      <c r="M173" t="s">
        <v>17</v>
      </c>
      <c r="N173" t="s">
        <v>827</v>
      </c>
    </row>
    <row r="174" spans="1:14" ht="30" x14ac:dyDescent="0.25">
      <c r="A174" s="84">
        <v>45839.676701388889</v>
      </c>
      <c r="B174" s="83">
        <v>89</v>
      </c>
      <c r="C174" s="83" t="s">
        <v>372</v>
      </c>
      <c r="D174" s="83" t="s">
        <v>30</v>
      </c>
      <c r="E174" s="83" t="s">
        <v>598</v>
      </c>
      <c r="I174" s="99">
        <v>45853.360914351855</v>
      </c>
      <c r="J174">
        <v>77</v>
      </c>
      <c r="K174" t="s">
        <v>323</v>
      </c>
      <c r="L174" t="s">
        <v>68</v>
      </c>
      <c r="M174" t="s">
        <v>17</v>
      </c>
      <c r="N174" t="s">
        <v>828</v>
      </c>
    </row>
    <row r="175" spans="1:14" ht="30" x14ac:dyDescent="0.25">
      <c r="A175" s="84">
        <v>45839.676712962966</v>
      </c>
      <c r="B175" s="83">
        <v>90</v>
      </c>
      <c r="C175" s="83" t="s">
        <v>375</v>
      </c>
      <c r="D175" s="83" t="s">
        <v>55</v>
      </c>
      <c r="E175" s="83" t="s">
        <v>377</v>
      </c>
      <c r="I175" s="99">
        <v>45853.360914351855</v>
      </c>
      <c r="J175">
        <v>78</v>
      </c>
      <c r="K175" t="s">
        <v>328</v>
      </c>
      <c r="L175" t="s">
        <v>61</v>
      </c>
      <c r="M175" t="s">
        <v>17</v>
      </c>
      <c r="N175" t="s">
        <v>829</v>
      </c>
    </row>
    <row r="176" spans="1:14" ht="30" x14ac:dyDescent="0.25">
      <c r="A176" s="84">
        <v>45839.676712962966</v>
      </c>
      <c r="B176" s="83">
        <v>91</v>
      </c>
      <c r="C176" s="83" t="s">
        <v>380</v>
      </c>
      <c r="D176" s="83" t="s">
        <v>21</v>
      </c>
      <c r="E176" s="83"/>
      <c r="I176" s="99">
        <v>45853.360914351855</v>
      </c>
      <c r="J176">
        <v>79</v>
      </c>
      <c r="K176" t="s">
        <v>332</v>
      </c>
      <c r="L176" t="s">
        <v>68</v>
      </c>
      <c r="M176" t="s">
        <v>17</v>
      </c>
      <c r="N176" t="s">
        <v>830</v>
      </c>
    </row>
    <row r="177" spans="1:14" ht="30" x14ac:dyDescent="0.25">
      <c r="A177" s="84">
        <v>45839.676712962966</v>
      </c>
      <c r="B177" s="83">
        <v>92</v>
      </c>
      <c r="C177" s="83" t="s">
        <v>382</v>
      </c>
      <c r="D177" s="83" t="s">
        <v>30</v>
      </c>
      <c r="E177" s="83" t="s">
        <v>384</v>
      </c>
      <c r="I177" s="99">
        <v>45853.360914351855</v>
      </c>
      <c r="J177">
        <v>80</v>
      </c>
      <c r="K177" t="s">
        <v>338</v>
      </c>
      <c r="L177" t="s">
        <v>736</v>
      </c>
      <c r="M177" t="s">
        <v>75</v>
      </c>
      <c r="N177" t="s">
        <v>831</v>
      </c>
    </row>
    <row r="178" spans="1:14" ht="30" x14ac:dyDescent="0.25">
      <c r="A178" s="84">
        <v>45839.676712962966</v>
      </c>
      <c r="B178" s="83">
        <v>93</v>
      </c>
      <c r="C178" s="83" t="s">
        <v>387</v>
      </c>
      <c r="D178" s="83" t="s">
        <v>55</v>
      </c>
      <c r="E178" s="83" t="s">
        <v>389</v>
      </c>
      <c r="I178" s="99">
        <v>45853.360914351855</v>
      </c>
      <c r="J178">
        <v>81</v>
      </c>
      <c r="K178" t="s">
        <v>345</v>
      </c>
      <c r="L178" t="s">
        <v>736</v>
      </c>
      <c r="M178" t="s">
        <v>16</v>
      </c>
      <c r="N178" t="s">
        <v>832</v>
      </c>
    </row>
    <row r="179" spans="1:14" ht="30" x14ac:dyDescent="0.25">
      <c r="A179" s="84">
        <v>45839.676712962966</v>
      </c>
      <c r="B179" s="83">
        <v>94</v>
      </c>
      <c r="C179" s="83" t="s">
        <v>391</v>
      </c>
      <c r="D179" s="83" t="s">
        <v>23</v>
      </c>
      <c r="E179" s="83" t="s">
        <v>596</v>
      </c>
      <c r="I179" s="99">
        <v>45853.360914351855</v>
      </c>
      <c r="J179">
        <v>82</v>
      </c>
      <c r="K179" t="s">
        <v>348</v>
      </c>
      <c r="L179" t="s">
        <v>736</v>
      </c>
      <c r="M179" t="s">
        <v>17</v>
      </c>
      <c r="N179" t="s">
        <v>833</v>
      </c>
    </row>
    <row r="180" spans="1:14" ht="30" x14ac:dyDescent="0.25">
      <c r="A180" s="84">
        <v>45839.676712962966</v>
      </c>
      <c r="B180" s="83">
        <v>95</v>
      </c>
      <c r="C180" s="83" t="s">
        <v>395</v>
      </c>
      <c r="D180" s="83" t="s">
        <v>29</v>
      </c>
      <c r="E180" s="83" t="s">
        <v>262</v>
      </c>
      <c r="I180" s="99">
        <v>45853.360914351855</v>
      </c>
      <c r="J180">
        <v>83</v>
      </c>
      <c r="K180" t="s">
        <v>351</v>
      </c>
      <c r="L180" t="s">
        <v>736</v>
      </c>
      <c r="M180" t="s">
        <v>75</v>
      </c>
      <c r="N180" t="s">
        <v>834</v>
      </c>
    </row>
    <row r="181" spans="1:14" ht="30" x14ac:dyDescent="0.25">
      <c r="A181" s="84">
        <v>45840.511874999997</v>
      </c>
      <c r="B181" s="83">
        <v>96</v>
      </c>
      <c r="C181" s="83" t="s">
        <v>602</v>
      </c>
      <c r="D181" s="83" t="s">
        <v>25</v>
      </c>
      <c r="E181" s="83"/>
      <c r="I181" s="99">
        <v>45853.360914351855</v>
      </c>
      <c r="J181">
        <v>84</v>
      </c>
      <c r="K181" t="s">
        <v>357</v>
      </c>
      <c r="L181" t="s">
        <v>68</v>
      </c>
      <c r="M181" t="s">
        <v>17</v>
      </c>
      <c r="N181" t="s">
        <v>835</v>
      </c>
    </row>
    <row r="182" spans="1:14" ht="30" x14ac:dyDescent="0.25">
      <c r="A182" s="84">
        <v>45840.607361111113</v>
      </c>
      <c r="B182" s="83">
        <v>43</v>
      </c>
      <c r="C182" s="83" t="s">
        <v>175</v>
      </c>
      <c r="D182" s="83" t="s">
        <v>25</v>
      </c>
      <c r="E182" s="83" t="s">
        <v>604</v>
      </c>
      <c r="I182" s="99">
        <v>45853.360925925925</v>
      </c>
      <c r="J182">
        <v>85</v>
      </c>
      <c r="K182" t="s">
        <v>360</v>
      </c>
      <c r="L182" t="s">
        <v>736</v>
      </c>
      <c r="M182" t="s">
        <v>16</v>
      </c>
      <c r="N182" t="s">
        <v>836</v>
      </c>
    </row>
    <row r="183" spans="1:14" ht="30" x14ac:dyDescent="0.25">
      <c r="A183" s="84">
        <v>45841.381041666667</v>
      </c>
      <c r="B183" s="83">
        <v>61</v>
      </c>
      <c r="C183" s="83" t="s">
        <v>260</v>
      </c>
      <c r="D183" s="83" t="s">
        <v>30</v>
      </c>
      <c r="E183" s="83" t="s">
        <v>262</v>
      </c>
      <c r="I183" s="99">
        <v>45853.360925925925</v>
      </c>
      <c r="J183">
        <v>86</v>
      </c>
      <c r="K183" t="s">
        <v>365</v>
      </c>
      <c r="L183" t="s">
        <v>736</v>
      </c>
      <c r="M183" t="s">
        <v>17</v>
      </c>
      <c r="N183" t="s">
        <v>837</v>
      </c>
    </row>
    <row r="184" spans="1:14" ht="30" x14ac:dyDescent="0.25">
      <c r="A184" s="84">
        <v>45841.381041666667</v>
      </c>
      <c r="B184" s="83">
        <v>67</v>
      </c>
      <c r="C184" s="83" t="s">
        <v>280</v>
      </c>
      <c r="D184" s="83" t="s">
        <v>29</v>
      </c>
      <c r="E184" s="83" t="s">
        <v>282</v>
      </c>
      <c r="I184" s="99">
        <v>45853.360925925925</v>
      </c>
      <c r="J184">
        <v>87</v>
      </c>
      <c r="K184" t="s">
        <v>368</v>
      </c>
      <c r="L184" t="s">
        <v>736</v>
      </c>
      <c r="M184" t="s">
        <v>75</v>
      </c>
      <c r="N184" t="s">
        <v>838</v>
      </c>
    </row>
    <row r="185" spans="1:14" ht="60" x14ac:dyDescent="0.25">
      <c r="A185" s="84">
        <v>45841.381041666667</v>
      </c>
      <c r="B185" s="83">
        <v>70</v>
      </c>
      <c r="C185" s="83" t="s">
        <v>295</v>
      </c>
      <c r="D185" s="83" t="s">
        <v>29</v>
      </c>
      <c r="E185" s="83" t="s">
        <v>600</v>
      </c>
      <c r="I185" s="99">
        <v>45853.360925925925</v>
      </c>
      <c r="J185">
        <v>88</v>
      </c>
      <c r="K185" t="s">
        <v>372</v>
      </c>
      <c r="L185" t="s">
        <v>68</v>
      </c>
      <c r="M185" t="s">
        <v>17</v>
      </c>
      <c r="N185" t="s">
        <v>839</v>
      </c>
    </row>
    <row r="186" spans="1:14" ht="30" x14ac:dyDescent="0.25">
      <c r="A186" s="84">
        <v>45841.381041666667</v>
      </c>
      <c r="B186" s="83">
        <v>76</v>
      </c>
      <c r="C186" s="83" t="s">
        <v>314</v>
      </c>
      <c r="D186" s="83" t="s">
        <v>29</v>
      </c>
      <c r="E186" s="83" t="s">
        <v>316</v>
      </c>
      <c r="I186" s="99">
        <v>45853.360925925925</v>
      </c>
      <c r="J186">
        <v>89</v>
      </c>
      <c r="K186" t="s">
        <v>375</v>
      </c>
      <c r="L186" t="s">
        <v>61</v>
      </c>
      <c r="M186" t="s">
        <v>75</v>
      </c>
      <c r="N186" t="s">
        <v>840</v>
      </c>
    </row>
    <row r="187" spans="1:14" ht="30" x14ac:dyDescent="0.25">
      <c r="A187" s="84">
        <v>45841.381053240744</v>
      </c>
      <c r="B187" s="83">
        <v>95</v>
      </c>
      <c r="C187" s="83" t="s">
        <v>395</v>
      </c>
      <c r="D187" s="83" t="s">
        <v>30</v>
      </c>
      <c r="E187" s="83" t="s">
        <v>262</v>
      </c>
      <c r="I187" s="99">
        <v>45853.360925925925</v>
      </c>
      <c r="J187">
        <v>90</v>
      </c>
      <c r="K187" t="s">
        <v>380</v>
      </c>
      <c r="L187" t="s">
        <v>736</v>
      </c>
      <c r="M187" t="s">
        <v>16</v>
      </c>
      <c r="N187" t="s">
        <v>841</v>
      </c>
    </row>
    <row r="188" spans="1:14" ht="30" x14ac:dyDescent="0.25">
      <c r="A188" s="84">
        <v>45846.335405092592</v>
      </c>
      <c r="B188" s="83">
        <v>97</v>
      </c>
      <c r="C188" s="83" t="s">
        <v>618</v>
      </c>
      <c r="D188" s="83" t="s">
        <v>23</v>
      </c>
      <c r="E188" s="83"/>
      <c r="I188" s="99">
        <v>45853.360925925925</v>
      </c>
      <c r="J188">
        <v>91</v>
      </c>
      <c r="K188" t="s">
        <v>382</v>
      </c>
      <c r="L188" t="s">
        <v>68</v>
      </c>
      <c r="M188" t="s">
        <v>17</v>
      </c>
      <c r="N188" t="s">
        <v>842</v>
      </c>
    </row>
    <row r="189" spans="1:14" ht="30" x14ac:dyDescent="0.25">
      <c r="A189" s="84">
        <v>45846.433946759258</v>
      </c>
      <c r="B189" s="83">
        <v>94</v>
      </c>
      <c r="C189" s="83" t="s">
        <v>391</v>
      </c>
      <c r="D189" s="83" t="s">
        <v>25</v>
      </c>
      <c r="E189" s="83" t="s">
        <v>623</v>
      </c>
      <c r="I189" s="99">
        <v>45853.360925925925</v>
      </c>
      <c r="J189">
        <v>92</v>
      </c>
      <c r="K189" t="s">
        <v>387</v>
      </c>
      <c r="L189" t="s">
        <v>61</v>
      </c>
      <c r="M189" t="s">
        <v>75</v>
      </c>
      <c r="N189" t="s">
        <v>843</v>
      </c>
    </row>
    <row r="190" spans="1:14" ht="30" x14ac:dyDescent="0.25">
      <c r="A190" s="84">
        <v>45846.433946759258</v>
      </c>
      <c r="B190" s="83">
        <v>97</v>
      </c>
      <c r="C190" s="83" t="s">
        <v>618</v>
      </c>
      <c r="D190" s="83" t="s">
        <v>25</v>
      </c>
      <c r="E190" s="83" t="s">
        <v>623</v>
      </c>
      <c r="I190" s="99">
        <v>45853.360925925925</v>
      </c>
      <c r="J190">
        <v>93</v>
      </c>
      <c r="K190" t="s">
        <v>391</v>
      </c>
      <c r="L190" t="s">
        <v>68</v>
      </c>
      <c r="M190" t="s">
        <v>17</v>
      </c>
      <c r="N190" t="s">
        <v>844</v>
      </c>
    </row>
    <row r="191" spans="1:14" ht="30" x14ac:dyDescent="0.25">
      <c r="A191" s="84">
        <v>45846.485208333332</v>
      </c>
      <c r="B191" s="83">
        <v>80</v>
      </c>
      <c r="C191" s="83" t="s">
        <v>332</v>
      </c>
      <c r="D191" s="83" t="s">
        <v>30</v>
      </c>
      <c r="E191" s="83" t="s">
        <v>734</v>
      </c>
      <c r="I191" s="99">
        <v>45853.360925925925</v>
      </c>
      <c r="J191">
        <v>94</v>
      </c>
      <c r="K191" t="s">
        <v>395</v>
      </c>
      <c r="L191" t="s">
        <v>68</v>
      </c>
      <c r="M191" t="s">
        <v>17</v>
      </c>
      <c r="N191" t="s">
        <v>845</v>
      </c>
    </row>
    <row r="192" spans="1:14" ht="30" x14ac:dyDescent="0.25">
      <c r="A192" s="84">
        <v>45849.375821759262</v>
      </c>
      <c r="B192" s="83">
        <v>97</v>
      </c>
      <c r="C192" s="83" t="s">
        <v>739</v>
      </c>
      <c r="D192" s="83" t="s">
        <v>23</v>
      </c>
      <c r="E192" s="83" t="s">
        <v>746</v>
      </c>
      <c r="I192" s="99">
        <v>45853.360925925925</v>
      </c>
      <c r="J192">
        <v>95</v>
      </c>
      <c r="K192" t="s">
        <v>602</v>
      </c>
      <c r="L192" t="s">
        <v>68</v>
      </c>
      <c r="M192" t="s">
        <v>17</v>
      </c>
      <c r="N192" t="s">
        <v>846</v>
      </c>
    </row>
    <row r="193" spans="1:14" ht="30" x14ac:dyDescent="0.25">
      <c r="A193" s="84">
        <v>45853.36074074074</v>
      </c>
      <c r="B193" s="83">
        <v>14</v>
      </c>
      <c r="C193" s="83" t="s">
        <v>56</v>
      </c>
      <c r="D193" s="83" t="s">
        <v>736</v>
      </c>
      <c r="E193" s="83" t="s">
        <v>59</v>
      </c>
      <c r="I193" s="99">
        <v>45853.360925925925</v>
      </c>
      <c r="J193">
        <v>96</v>
      </c>
      <c r="K193" t="s">
        <v>618</v>
      </c>
      <c r="L193" t="s">
        <v>68</v>
      </c>
      <c r="M193" t="s">
        <v>17</v>
      </c>
      <c r="N193" t="s">
        <v>847</v>
      </c>
    </row>
    <row r="194" spans="1:14" ht="30" x14ac:dyDescent="0.25">
      <c r="A194" s="84">
        <v>45853.36074074074</v>
      </c>
      <c r="B194" s="83">
        <v>15</v>
      </c>
      <c r="C194" s="83" t="s">
        <v>65</v>
      </c>
      <c r="D194" s="83" t="s">
        <v>68</v>
      </c>
      <c r="E194" s="83" t="s">
        <v>17</v>
      </c>
      <c r="I194" s="99">
        <v>45853.360925925925</v>
      </c>
      <c r="J194">
        <v>97</v>
      </c>
      <c r="K194" t="s">
        <v>739</v>
      </c>
      <c r="L194" t="s">
        <v>68</v>
      </c>
      <c r="M194" t="s">
        <v>17</v>
      </c>
      <c r="N194" t="s">
        <v>848</v>
      </c>
    </row>
    <row r="195" spans="1:14" ht="30" x14ac:dyDescent="0.25">
      <c r="A195" s="84">
        <v>45853.36074074074</v>
      </c>
      <c r="B195" s="83">
        <v>16</v>
      </c>
      <c r="C195" s="83" t="s">
        <v>73</v>
      </c>
      <c r="D195" s="83" t="s">
        <v>736</v>
      </c>
      <c r="E195" s="83" t="s">
        <v>75</v>
      </c>
      <c r="I195" s="99">
        <v>45853.360925925925</v>
      </c>
      <c r="J195">
        <v>98</v>
      </c>
      <c r="K195" t="s">
        <v>760</v>
      </c>
      <c r="L195" t="s">
        <v>736</v>
      </c>
      <c r="M195" t="s">
        <v>75</v>
      </c>
      <c r="N195" t="s">
        <v>849</v>
      </c>
    </row>
    <row r="196" spans="1:14" ht="30" x14ac:dyDescent="0.25">
      <c r="A196" s="84">
        <v>45853.360752314817</v>
      </c>
      <c r="B196" s="83">
        <v>17</v>
      </c>
      <c r="C196" s="83" t="s">
        <v>78</v>
      </c>
      <c r="D196" s="83" t="s">
        <v>736</v>
      </c>
      <c r="E196" s="83" t="s">
        <v>75</v>
      </c>
      <c r="I196" s="99">
        <v>45853.417500000003</v>
      </c>
      <c r="J196">
        <v>52</v>
      </c>
      <c r="K196" t="s">
        <v>618</v>
      </c>
      <c r="L196" t="s">
        <v>736</v>
      </c>
      <c r="M196" t="s">
        <v>17</v>
      </c>
      <c r="N196" t="s">
        <v>877</v>
      </c>
    </row>
    <row r="197" spans="1:14" ht="30" x14ac:dyDescent="0.25">
      <c r="A197" s="84">
        <v>45853.360752314817</v>
      </c>
      <c r="B197" s="83">
        <v>18</v>
      </c>
      <c r="C197" s="83" t="s">
        <v>82</v>
      </c>
      <c r="D197" s="83" t="s">
        <v>61</v>
      </c>
      <c r="E197" s="83" t="s">
        <v>75</v>
      </c>
      <c r="I197" s="99">
        <v>45853.422372685185</v>
      </c>
      <c r="J197">
        <v>24</v>
      </c>
      <c r="K197" t="s">
        <v>92</v>
      </c>
      <c r="L197" t="s">
        <v>25</v>
      </c>
      <c r="M197" t="s">
        <v>850</v>
      </c>
      <c r="N197" t="s">
        <v>878</v>
      </c>
    </row>
    <row r="198" spans="1:14" ht="30" x14ac:dyDescent="0.25">
      <c r="A198" s="84">
        <v>45853.360752314817</v>
      </c>
      <c r="B198" s="83">
        <v>19</v>
      </c>
      <c r="C198" s="83" t="s">
        <v>85</v>
      </c>
      <c r="D198" s="83" t="s">
        <v>61</v>
      </c>
      <c r="E198" s="83" t="s">
        <v>75</v>
      </c>
      <c r="I198" s="99">
        <v>45853.422384259262</v>
      </c>
      <c r="J198">
        <v>25</v>
      </c>
      <c r="K198" t="s">
        <v>103</v>
      </c>
      <c r="L198" t="s">
        <v>25</v>
      </c>
      <c r="M198" t="s">
        <v>851</v>
      </c>
      <c r="N198" t="s">
        <v>879</v>
      </c>
    </row>
    <row r="199" spans="1:14" ht="30" x14ac:dyDescent="0.25">
      <c r="A199" s="84">
        <v>45853.360763888886</v>
      </c>
      <c r="B199" s="83">
        <v>20</v>
      </c>
      <c r="C199" s="83" t="s">
        <v>87</v>
      </c>
      <c r="D199" s="83" t="s">
        <v>68</v>
      </c>
      <c r="E199" s="83" t="s">
        <v>17</v>
      </c>
      <c r="I199" s="99">
        <v>45853.422395833331</v>
      </c>
      <c r="J199">
        <v>27</v>
      </c>
      <c r="K199" t="s">
        <v>108</v>
      </c>
      <c r="L199" t="s">
        <v>25</v>
      </c>
      <c r="M199" t="s">
        <v>854</v>
      </c>
      <c r="N199" t="s">
        <v>880</v>
      </c>
    </row>
    <row r="200" spans="1:14" ht="30" x14ac:dyDescent="0.25">
      <c r="A200" s="84">
        <v>45853.360763888886</v>
      </c>
      <c r="B200" s="83">
        <v>21</v>
      </c>
      <c r="C200" s="83" t="s">
        <v>92</v>
      </c>
      <c r="D200" s="83" t="s">
        <v>68</v>
      </c>
      <c r="E200" s="83" t="s">
        <v>17</v>
      </c>
      <c r="I200" s="99">
        <v>45853.422395833331</v>
      </c>
      <c r="J200">
        <v>28</v>
      </c>
      <c r="K200" t="s">
        <v>117</v>
      </c>
      <c r="L200" t="s">
        <v>25</v>
      </c>
      <c r="M200" t="s">
        <v>858</v>
      </c>
      <c r="N200" t="s">
        <v>881</v>
      </c>
    </row>
    <row r="201" spans="1:14" ht="30" x14ac:dyDescent="0.25">
      <c r="A201" s="84">
        <v>45853.360763888886</v>
      </c>
      <c r="B201" s="83">
        <v>22</v>
      </c>
      <c r="C201" s="83" t="s">
        <v>99</v>
      </c>
      <c r="D201" s="83" t="s">
        <v>61</v>
      </c>
      <c r="E201" s="83" t="s">
        <v>17</v>
      </c>
      <c r="I201" s="99">
        <v>45853.422407407408</v>
      </c>
      <c r="J201">
        <v>43</v>
      </c>
      <c r="K201" t="s">
        <v>175</v>
      </c>
      <c r="L201" t="s">
        <v>25</v>
      </c>
      <c r="M201" t="s">
        <v>757</v>
      </c>
      <c r="N201" t="s">
        <v>882</v>
      </c>
    </row>
    <row r="202" spans="1:14" ht="30" x14ac:dyDescent="0.25">
      <c r="A202" s="84">
        <v>45853.360763888886</v>
      </c>
      <c r="B202" s="83">
        <v>23</v>
      </c>
      <c r="C202" s="83" t="s">
        <v>101</v>
      </c>
      <c r="D202" s="83" t="s">
        <v>61</v>
      </c>
      <c r="E202" s="83" t="s">
        <v>17</v>
      </c>
      <c r="I202" s="99">
        <v>45853.422430555554</v>
      </c>
      <c r="J202">
        <v>54</v>
      </c>
      <c r="K202" t="s">
        <v>193</v>
      </c>
      <c r="L202" t="s">
        <v>26</v>
      </c>
      <c r="M202" t="s">
        <v>756</v>
      </c>
      <c r="N202" t="s">
        <v>883</v>
      </c>
    </row>
    <row r="203" spans="1:14" ht="30" x14ac:dyDescent="0.25">
      <c r="A203" s="84">
        <v>45853.360775462963</v>
      </c>
      <c r="B203" s="83">
        <v>24</v>
      </c>
      <c r="C203" s="83" t="s">
        <v>103</v>
      </c>
      <c r="D203" s="83" t="s">
        <v>68</v>
      </c>
      <c r="E203" s="83" t="s">
        <v>17</v>
      </c>
      <c r="I203" s="99">
        <v>45853.422430555554</v>
      </c>
      <c r="J203">
        <v>55</v>
      </c>
      <c r="K203" t="s">
        <v>602</v>
      </c>
      <c r="L203" t="s">
        <v>26</v>
      </c>
      <c r="M203" t="s">
        <v>625</v>
      </c>
      <c r="N203" t="s">
        <v>884</v>
      </c>
    </row>
    <row r="204" spans="1:14" ht="30" x14ac:dyDescent="0.25">
      <c r="A204" s="84">
        <v>45853.360775462963</v>
      </c>
      <c r="B204" s="83">
        <v>25</v>
      </c>
      <c r="C204" s="83" t="s">
        <v>108</v>
      </c>
      <c r="D204" s="83" t="s">
        <v>68</v>
      </c>
      <c r="E204" s="83" t="s">
        <v>17</v>
      </c>
      <c r="I204" s="99">
        <v>45853.422442129631</v>
      </c>
      <c r="J204">
        <v>56</v>
      </c>
      <c r="K204" t="s">
        <v>215</v>
      </c>
      <c r="L204" t="s">
        <v>27</v>
      </c>
      <c r="M204" t="s">
        <v>755</v>
      </c>
      <c r="N204" t="s">
        <v>885</v>
      </c>
    </row>
    <row r="205" spans="1:14" ht="30" x14ac:dyDescent="0.25">
      <c r="A205" s="84">
        <v>45853.36078703704</v>
      </c>
      <c r="B205" s="83">
        <v>26</v>
      </c>
      <c r="C205" s="83" t="s">
        <v>110</v>
      </c>
      <c r="D205" s="83" t="s">
        <v>61</v>
      </c>
      <c r="E205" s="83" t="s">
        <v>17</v>
      </c>
      <c r="I205" s="99">
        <v>45853.422453703701</v>
      </c>
      <c r="J205">
        <v>60</v>
      </c>
      <c r="K205" t="s">
        <v>225</v>
      </c>
      <c r="L205" t="s">
        <v>27</v>
      </c>
      <c r="M205" t="s">
        <v>758</v>
      </c>
      <c r="N205" t="s">
        <v>886</v>
      </c>
    </row>
    <row r="206" spans="1:14" ht="30" x14ac:dyDescent="0.25">
      <c r="A206" s="84">
        <v>45853.36078703704</v>
      </c>
      <c r="B206" s="83">
        <v>27</v>
      </c>
      <c r="C206" s="83" t="s">
        <v>117</v>
      </c>
      <c r="D206" s="83" t="s">
        <v>68</v>
      </c>
      <c r="E206" s="83" t="s">
        <v>17</v>
      </c>
      <c r="I206" s="99">
        <v>45853.422465277778</v>
      </c>
      <c r="J206">
        <v>66</v>
      </c>
      <c r="K206" t="s">
        <v>230</v>
      </c>
      <c r="L206" t="s">
        <v>27</v>
      </c>
      <c r="M206" t="s">
        <v>747</v>
      </c>
      <c r="N206" t="s">
        <v>887</v>
      </c>
    </row>
    <row r="207" spans="1:14" ht="30" x14ac:dyDescent="0.25">
      <c r="A207" s="84">
        <v>45853.36078703704</v>
      </c>
      <c r="B207" s="83">
        <v>28</v>
      </c>
      <c r="C207" s="83" t="s">
        <v>122</v>
      </c>
      <c r="D207" s="83" t="s">
        <v>68</v>
      </c>
      <c r="E207" s="83" t="s">
        <v>17</v>
      </c>
      <c r="I207" s="99">
        <v>45853.422476851854</v>
      </c>
      <c r="J207">
        <v>75</v>
      </c>
      <c r="K207" t="s">
        <v>372</v>
      </c>
      <c r="L207" t="s">
        <v>27</v>
      </c>
      <c r="M207" t="s">
        <v>598</v>
      </c>
      <c r="N207" t="s">
        <v>888</v>
      </c>
    </row>
    <row r="208" spans="1:14" ht="30" x14ac:dyDescent="0.25">
      <c r="A208" s="84">
        <v>45853.360798611109</v>
      </c>
      <c r="B208" s="83">
        <v>29</v>
      </c>
      <c r="C208" s="83" t="s">
        <v>125</v>
      </c>
      <c r="D208" s="83" t="s">
        <v>736</v>
      </c>
      <c r="E208" s="83" t="s">
        <v>17</v>
      </c>
      <c r="I208" s="99">
        <v>45853.422488425924</v>
      </c>
      <c r="J208">
        <v>76</v>
      </c>
      <c r="K208" t="s">
        <v>280</v>
      </c>
      <c r="L208" t="s">
        <v>29</v>
      </c>
      <c r="M208" t="s">
        <v>622</v>
      </c>
      <c r="N208" t="s">
        <v>889</v>
      </c>
    </row>
    <row r="209" spans="1:14" ht="30" x14ac:dyDescent="0.25">
      <c r="A209" s="84">
        <v>45853.360798611109</v>
      </c>
      <c r="B209" s="83">
        <v>30</v>
      </c>
      <c r="C209" s="83" t="s">
        <v>132</v>
      </c>
      <c r="D209" s="83" t="s">
        <v>61</v>
      </c>
      <c r="E209" s="83" t="s">
        <v>17</v>
      </c>
      <c r="I209" s="99">
        <v>45853.422488425924</v>
      </c>
      <c r="J209">
        <v>77</v>
      </c>
      <c r="K209" t="s">
        <v>295</v>
      </c>
      <c r="L209" t="s">
        <v>29</v>
      </c>
      <c r="M209" t="s">
        <v>753</v>
      </c>
      <c r="N209" t="s">
        <v>890</v>
      </c>
    </row>
    <row r="210" spans="1:14" ht="30" x14ac:dyDescent="0.25">
      <c r="A210" s="84">
        <v>45853.360810185186</v>
      </c>
      <c r="B210" s="83">
        <v>31</v>
      </c>
      <c r="C210" s="83" t="s">
        <v>137</v>
      </c>
      <c r="D210" s="83" t="s">
        <v>61</v>
      </c>
      <c r="E210" s="83" t="s">
        <v>75</v>
      </c>
      <c r="I210" s="99">
        <v>45853.422488425924</v>
      </c>
      <c r="J210">
        <v>79</v>
      </c>
      <c r="K210" t="s">
        <v>250</v>
      </c>
      <c r="L210" t="s">
        <v>30</v>
      </c>
      <c r="M210" t="s">
        <v>754</v>
      </c>
      <c r="N210" t="s">
        <v>891</v>
      </c>
    </row>
    <row r="211" spans="1:14" ht="30" x14ac:dyDescent="0.25">
      <c r="A211" s="84">
        <v>45853.360810185186</v>
      </c>
      <c r="B211" s="83">
        <v>32</v>
      </c>
      <c r="C211" s="83" t="s">
        <v>139</v>
      </c>
      <c r="D211" s="83" t="s">
        <v>61</v>
      </c>
      <c r="E211" s="83" t="s">
        <v>75</v>
      </c>
      <c r="I211" s="99">
        <v>45853.422500000001</v>
      </c>
      <c r="J211">
        <v>84</v>
      </c>
      <c r="K211" t="s">
        <v>255</v>
      </c>
      <c r="L211" t="s">
        <v>30</v>
      </c>
      <c r="M211" t="s">
        <v>752</v>
      </c>
      <c r="N211" t="s">
        <v>892</v>
      </c>
    </row>
    <row r="212" spans="1:14" ht="30" x14ac:dyDescent="0.25">
      <c r="A212" s="84">
        <v>45853.360810185186</v>
      </c>
      <c r="B212" s="83">
        <v>33</v>
      </c>
      <c r="C212" s="83" t="s">
        <v>141</v>
      </c>
      <c r="D212" s="83" t="s">
        <v>736</v>
      </c>
      <c r="E212" s="83" t="s">
        <v>59</v>
      </c>
      <c r="I212" s="99">
        <v>45853.422500000001</v>
      </c>
      <c r="J212">
        <v>88</v>
      </c>
      <c r="K212" t="s">
        <v>314</v>
      </c>
      <c r="L212" t="s">
        <v>30</v>
      </c>
      <c r="M212" t="s">
        <v>859</v>
      </c>
      <c r="N212" t="s">
        <v>893</v>
      </c>
    </row>
    <row r="213" spans="1:14" ht="30" x14ac:dyDescent="0.25">
      <c r="A213" s="84">
        <v>45853.360821759263</v>
      </c>
      <c r="B213" s="83">
        <v>34</v>
      </c>
      <c r="C213" s="83" t="s">
        <v>144</v>
      </c>
      <c r="D213" s="83" t="s">
        <v>736</v>
      </c>
      <c r="E213" s="83" t="s">
        <v>17</v>
      </c>
      <c r="I213" s="99">
        <v>45853.422511574077</v>
      </c>
      <c r="J213">
        <v>91</v>
      </c>
      <c r="K213" t="s">
        <v>318</v>
      </c>
      <c r="L213" t="s">
        <v>30</v>
      </c>
      <c r="M213" t="s">
        <v>738</v>
      </c>
      <c r="N213" t="s">
        <v>894</v>
      </c>
    </row>
    <row r="214" spans="1:14" ht="30" x14ac:dyDescent="0.25">
      <c r="A214" s="84">
        <v>45853.360821759263</v>
      </c>
      <c r="B214" s="83">
        <v>35</v>
      </c>
      <c r="C214" s="83" t="s">
        <v>148</v>
      </c>
      <c r="D214" s="83" t="s">
        <v>736</v>
      </c>
      <c r="E214" s="83" t="s">
        <v>17</v>
      </c>
      <c r="I214" s="99">
        <v>45853.422523148147</v>
      </c>
      <c r="J214">
        <v>93</v>
      </c>
      <c r="K214" t="s">
        <v>323</v>
      </c>
      <c r="L214" t="s">
        <v>30</v>
      </c>
      <c r="M214" t="s">
        <v>749</v>
      </c>
      <c r="N214" t="s">
        <v>895</v>
      </c>
    </row>
    <row r="215" spans="1:14" ht="30" x14ac:dyDescent="0.25">
      <c r="A215" s="84">
        <v>45853.360821759263</v>
      </c>
      <c r="B215" s="83">
        <v>36</v>
      </c>
      <c r="C215" s="83" t="s">
        <v>151</v>
      </c>
      <c r="D215" s="83" t="s">
        <v>736</v>
      </c>
      <c r="E215" s="83" t="s">
        <v>17</v>
      </c>
      <c r="I215" s="99">
        <v>45853.422523148147</v>
      </c>
      <c r="J215">
        <v>94</v>
      </c>
      <c r="K215" t="s">
        <v>332</v>
      </c>
      <c r="L215" t="s">
        <v>30</v>
      </c>
      <c r="M215" t="s">
        <v>751</v>
      </c>
      <c r="N215" t="s">
        <v>896</v>
      </c>
    </row>
    <row r="216" spans="1:14" ht="30" x14ac:dyDescent="0.25">
      <c r="A216" s="84">
        <v>45853.360833333332</v>
      </c>
      <c r="B216" s="83">
        <v>37</v>
      </c>
      <c r="C216" s="83" t="s">
        <v>154</v>
      </c>
      <c r="D216" s="83" t="s">
        <v>736</v>
      </c>
      <c r="E216" s="83" t="s">
        <v>17</v>
      </c>
      <c r="I216" s="99">
        <v>45853.422534722224</v>
      </c>
      <c r="J216">
        <v>96</v>
      </c>
      <c r="K216" t="s">
        <v>382</v>
      </c>
      <c r="L216" t="s">
        <v>30</v>
      </c>
      <c r="M216" t="s">
        <v>860</v>
      </c>
      <c r="N216" t="s">
        <v>897</v>
      </c>
    </row>
    <row r="217" spans="1:14" ht="30" x14ac:dyDescent="0.25">
      <c r="A217" s="84">
        <v>45853.360833333332</v>
      </c>
      <c r="B217" s="83">
        <v>38</v>
      </c>
      <c r="C217" s="83" t="s">
        <v>158</v>
      </c>
      <c r="D217" s="83" t="s">
        <v>61</v>
      </c>
      <c r="E217" s="83" t="s">
        <v>75</v>
      </c>
      <c r="I217" s="99">
        <v>45853.422534722224</v>
      </c>
      <c r="J217">
        <v>97</v>
      </c>
      <c r="K217" t="s">
        <v>395</v>
      </c>
      <c r="L217" t="s">
        <v>30</v>
      </c>
      <c r="M217" t="s">
        <v>748</v>
      </c>
      <c r="N217" t="s">
        <v>898</v>
      </c>
    </row>
    <row r="218" spans="1:14" ht="30" x14ac:dyDescent="0.25">
      <c r="A218" s="84">
        <v>45853.360833333332</v>
      </c>
      <c r="B218" s="83">
        <v>39</v>
      </c>
      <c r="C218" s="83" t="s">
        <v>160</v>
      </c>
      <c r="D218" s="83" t="s">
        <v>61</v>
      </c>
      <c r="E218" s="83" t="s">
        <v>75</v>
      </c>
      <c r="I218" s="99">
        <v>45853.423263888886</v>
      </c>
      <c r="J218">
        <v>49</v>
      </c>
      <c r="K218" t="s">
        <v>201</v>
      </c>
      <c r="L218" t="s">
        <v>55</v>
      </c>
      <c r="M218" t="s">
        <v>203</v>
      </c>
      <c r="N218" t="s">
        <v>899</v>
      </c>
    </row>
    <row r="219" spans="1:14" ht="30" x14ac:dyDescent="0.25">
      <c r="A219" s="84">
        <v>45853.360844907409</v>
      </c>
      <c r="B219" s="83">
        <v>40</v>
      </c>
      <c r="C219" s="83" t="s">
        <v>163</v>
      </c>
      <c r="D219" s="83" t="s">
        <v>61</v>
      </c>
      <c r="E219" s="83" t="s">
        <v>75</v>
      </c>
      <c r="I219" s="99">
        <v>45853.423275462963</v>
      </c>
      <c r="J219">
        <v>57</v>
      </c>
      <c r="K219" t="s">
        <v>241</v>
      </c>
      <c r="L219" t="s">
        <v>55</v>
      </c>
      <c r="M219" t="s">
        <v>243</v>
      </c>
      <c r="N219" t="s">
        <v>900</v>
      </c>
    </row>
    <row r="220" spans="1:14" ht="30" x14ac:dyDescent="0.25">
      <c r="A220" s="84">
        <v>45853.360844907409</v>
      </c>
      <c r="B220" s="83">
        <v>41</v>
      </c>
      <c r="C220" s="83" t="s">
        <v>166</v>
      </c>
      <c r="D220" s="83" t="s">
        <v>61</v>
      </c>
      <c r="E220" s="83" t="s">
        <v>75</v>
      </c>
      <c r="I220" s="99">
        <v>45853.42328703704</v>
      </c>
      <c r="J220">
        <v>58</v>
      </c>
      <c r="K220" t="s">
        <v>246</v>
      </c>
      <c r="L220" t="s">
        <v>55</v>
      </c>
      <c r="M220" t="s">
        <v>248</v>
      </c>
      <c r="N220" t="s">
        <v>901</v>
      </c>
    </row>
    <row r="221" spans="1:14" ht="30" x14ac:dyDescent="0.25">
      <c r="A221" s="84">
        <v>45853.360856481479</v>
      </c>
      <c r="B221" s="83">
        <v>42</v>
      </c>
      <c r="C221" s="83" t="s">
        <v>169</v>
      </c>
      <c r="D221" s="83" t="s">
        <v>61</v>
      </c>
      <c r="E221" s="83" t="s">
        <v>17</v>
      </c>
      <c r="I221" s="99">
        <v>45853.423298611109</v>
      </c>
      <c r="J221">
        <v>63</v>
      </c>
      <c r="K221" t="s">
        <v>270</v>
      </c>
      <c r="L221" t="s">
        <v>55</v>
      </c>
      <c r="M221" t="s">
        <v>272</v>
      </c>
      <c r="N221" t="s">
        <v>902</v>
      </c>
    </row>
    <row r="222" spans="1:14" ht="30" x14ac:dyDescent="0.25">
      <c r="A222" s="84">
        <v>45853.360856481479</v>
      </c>
      <c r="B222" s="83">
        <v>43</v>
      </c>
      <c r="C222" s="83" t="s">
        <v>175</v>
      </c>
      <c r="D222" s="83" t="s">
        <v>68</v>
      </c>
      <c r="E222" s="83" t="s">
        <v>75</v>
      </c>
      <c r="I222" s="99">
        <v>45853.423715277779</v>
      </c>
      <c r="J222">
        <v>44</v>
      </c>
      <c r="K222" t="s">
        <v>179</v>
      </c>
      <c r="L222" t="s">
        <v>21</v>
      </c>
      <c r="M222" t="s">
        <v>181</v>
      </c>
      <c r="N222" t="s">
        <v>903</v>
      </c>
    </row>
    <row r="223" spans="1:14" ht="30" x14ac:dyDescent="0.25">
      <c r="A223" s="84">
        <v>45853.360856481479</v>
      </c>
      <c r="B223" s="83">
        <v>44</v>
      </c>
      <c r="C223" s="83" t="s">
        <v>179</v>
      </c>
      <c r="D223" s="83" t="s">
        <v>736</v>
      </c>
      <c r="E223" s="83" t="s">
        <v>17</v>
      </c>
      <c r="I223" s="99">
        <v>45853.423750000002</v>
      </c>
      <c r="J223">
        <v>51</v>
      </c>
      <c r="K223" t="s">
        <v>211</v>
      </c>
      <c r="L223" t="s">
        <v>21</v>
      </c>
      <c r="M223" t="s">
        <v>213</v>
      </c>
      <c r="N223" t="s">
        <v>904</v>
      </c>
    </row>
    <row r="224" spans="1:14" ht="30" x14ac:dyDescent="0.25">
      <c r="A224" s="84">
        <v>45853.360856481479</v>
      </c>
      <c r="B224" s="83">
        <v>45</v>
      </c>
      <c r="C224" s="83" t="s">
        <v>185</v>
      </c>
      <c r="D224" s="83" t="s">
        <v>736</v>
      </c>
      <c r="E224" s="83" t="s">
        <v>17</v>
      </c>
      <c r="I224" s="99">
        <v>45853.423761574071</v>
      </c>
      <c r="J224">
        <v>52</v>
      </c>
      <c r="K224" t="s">
        <v>618</v>
      </c>
      <c r="L224" t="s">
        <v>21</v>
      </c>
      <c r="M224" t="s">
        <v>857</v>
      </c>
      <c r="N224" t="s">
        <v>905</v>
      </c>
    </row>
    <row r="225" spans="1:14" ht="30" x14ac:dyDescent="0.25">
      <c r="A225" s="84">
        <v>45853.360856481479</v>
      </c>
      <c r="B225" s="83">
        <v>46</v>
      </c>
      <c r="C225" s="83" t="s">
        <v>190</v>
      </c>
      <c r="D225" s="83" t="s">
        <v>61</v>
      </c>
      <c r="E225" s="83" t="s">
        <v>17</v>
      </c>
      <c r="I225" s="99">
        <v>45853.423819444448</v>
      </c>
      <c r="J225">
        <v>83</v>
      </c>
      <c r="K225" t="s">
        <v>351</v>
      </c>
      <c r="L225" t="s">
        <v>21</v>
      </c>
      <c r="M225" t="s">
        <v>591</v>
      </c>
      <c r="N225" t="s">
        <v>906</v>
      </c>
    </row>
    <row r="226" spans="1:14" ht="30" x14ac:dyDescent="0.25">
      <c r="A226" s="84">
        <v>45853.360856481479</v>
      </c>
      <c r="B226" s="83">
        <v>47</v>
      </c>
      <c r="C226" s="83" t="s">
        <v>193</v>
      </c>
      <c r="D226" s="83" t="s">
        <v>68</v>
      </c>
      <c r="E226" s="83" t="s">
        <v>17</v>
      </c>
      <c r="I226" s="99">
        <v>45853.423819444448</v>
      </c>
      <c r="J226">
        <v>85</v>
      </c>
      <c r="K226" t="s">
        <v>360</v>
      </c>
      <c r="L226" t="s">
        <v>21</v>
      </c>
      <c r="M226" t="s">
        <v>362</v>
      </c>
      <c r="N226" t="s">
        <v>907</v>
      </c>
    </row>
    <row r="227" spans="1:14" ht="30" x14ac:dyDescent="0.25">
      <c r="A227" s="84">
        <v>45853.360868055555</v>
      </c>
      <c r="B227" s="83">
        <v>48</v>
      </c>
      <c r="C227" s="83" t="s">
        <v>198</v>
      </c>
      <c r="D227" s="83" t="s">
        <v>736</v>
      </c>
      <c r="E227" s="83" t="s">
        <v>75</v>
      </c>
      <c r="I227" s="99">
        <v>45853.423842592594</v>
      </c>
      <c r="J227">
        <v>98</v>
      </c>
      <c r="K227" t="s">
        <v>760</v>
      </c>
      <c r="L227" t="s">
        <v>21</v>
      </c>
      <c r="N227" t="s">
        <v>908</v>
      </c>
    </row>
    <row r="228" spans="1:14" ht="30" x14ac:dyDescent="0.25">
      <c r="A228" s="84">
        <v>45853.360868055555</v>
      </c>
      <c r="B228" s="83">
        <v>49</v>
      </c>
      <c r="C228" s="83" t="s">
        <v>201</v>
      </c>
      <c r="D228" s="83" t="s">
        <v>61</v>
      </c>
      <c r="E228" s="83" t="s">
        <v>75</v>
      </c>
      <c r="I228" s="99">
        <v>45855.427291666667</v>
      </c>
      <c r="J228">
        <v>80</v>
      </c>
      <c r="K228" t="s">
        <v>193</v>
      </c>
      <c r="L228" t="s">
        <v>26</v>
      </c>
      <c r="M228" t="s">
        <v>875</v>
      </c>
      <c r="N228" t="s">
        <v>909</v>
      </c>
    </row>
    <row r="229" spans="1:14" ht="30" x14ac:dyDescent="0.25">
      <c r="A229" s="84">
        <v>45853.360868055555</v>
      </c>
      <c r="B229" s="83">
        <v>50</v>
      </c>
      <c r="C229" s="83" t="s">
        <v>205</v>
      </c>
      <c r="D229" s="83" t="s">
        <v>61</v>
      </c>
      <c r="E229" s="83" t="s">
        <v>75</v>
      </c>
      <c r="I229" s="99">
        <v>45855.488263888888</v>
      </c>
      <c r="J229">
        <v>43</v>
      </c>
      <c r="K229" t="s">
        <v>65</v>
      </c>
      <c r="L229" t="s">
        <v>23</v>
      </c>
      <c r="M229" t="s">
        <v>865</v>
      </c>
      <c r="N229" t="s">
        <v>910</v>
      </c>
    </row>
    <row r="230" spans="1:14" ht="30" x14ac:dyDescent="0.25">
      <c r="A230" s="84">
        <v>45853.360868055555</v>
      </c>
      <c r="B230" s="83">
        <v>51</v>
      </c>
      <c r="C230" s="83" t="s">
        <v>211</v>
      </c>
      <c r="D230" s="83" t="s">
        <v>736</v>
      </c>
      <c r="E230" s="83" t="s">
        <v>17</v>
      </c>
      <c r="I230" s="99">
        <v>45855.488263888888</v>
      </c>
      <c r="J230">
        <v>44</v>
      </c>
      <c r="K230" t="s">
        <v>739</v>
      </c>
      <c r="L230" t="s">
        <v>23</v>
      </c>
      <c r="M230" t="s">
        <v>864</v>
      </c>
      <c r="N230" t="s">
        <v>911</v>
      </c>
    </row>
    <row r="231" spans="1:14" ht="30" x14ac:dyDescent="0.25">
      <c r="A231" s="84">
        <v>45853.360868055555</v>
      </c>
      <c r="B231" s="83">
        <v>52</v>
      </c>
      <c r="C231" s="83" t="s">
        <v>215</v>
      </c>
      <c r="D231" s="83" t="s">
        <v>68</v>
      </c>
      <c r="E231" s="83" t="s">
        <v>17</v>
      </c>
      <c r="I231" s="99">
        <v>45855.488310185188</v>
      </c>
      <c r="J231">
        <v>72</v>
      </c>
      <c r="K231" t="s">
        <v>87</v>
      </c>
      <c r="L231" t="s">
        <v>25</v>
      </c>
      <c r="M231" t="s">
        <v>873</v>
      </c>
      <c r="N231" t="s">
        <v>912</v>
      </c>
    </row>
    <row r="232" spans="1:14" ht="30" x14ac:dyDescent="0.25">
      <c r="A232" s="84">
        <v>45853.360879629632</v>
      </c>
      <c r="B232" s="83">
        <v>53</v>
      </c>
      <c r="C232" s="83" t="s">
        <v>220</v>
      </c>
      <c r="D232" s="83" t="s">
        <v>68</v>
      </c>
      <c r="E232" s="83" t="s">
        <v>17</v>
      </c>
      <c r="I232" s="99">
        <v>45855.488310185188</v>
      </c>
      <c r="J232">
        <v>73</v>
      </c>
      <c r="K232" t="s">
        <v>92</v>
      </c>
      <c r="L232" t="s">
        <v>21</v>
      </c>
      <c r="M232" t="s">
        <v>876</v>
      </c>
      <c r="N232" t="s">
        <v>913</v>
      </c>
    </row>
    <row r="233" spans="1:14" ht="30" x14ac:dyDescent="0.25">
      <c r="A233" s="84">
        <v>45853.360879629632</v>
      </c>
      <c r="B233" s="83">
        <v>54</v>
      </c>
      <c r="C233" s="83" t="s">
        <v>225</v>
      </c>
      <c r="D233" s="83" t="s">
        <v>68</v>
      </c>
      <c r="E233" s="83" t="s">
        <v>17</v>
      </c>
      <c r="I233" s="99">
        <v>45855.488321759258</v>
      </c>
      <c r="J233">
        <v>75</v>
      </c>
      <c r="K233" t="s">
        <v>108</v>
      </c>
      <c r="L233" t="s">
        <v>25</v>
      </c>
      <c r="M233" t="s">
        <v>869</v>
      </c>
      <c r="N233" t="s">
        <v>914</v>
      </c>
    </row>
    <row r="234" spans="1:14" ht="30" x14ac:dyDescent="0.25">
      <c r="A234" s="84">
        <v>45853.360879629632</v>
      </c>
      <c r="B234" s="83">
        <v>55</v>
      </c>
      <c r="C234" s="83" t="s">
        <v>230</v>
      </c>
      <c r="D234" s="83" t="s">
        <v>68</v>
      </c>
      <c r="E234" s="83" t="s">
        <v>17</v>
      </c>
      <c r="I234" s="99">
        <v>45855.488321759258</v>
      </c>
      <c r="J234">
        <v>77</v>
      </c>
      <c r="K234" t="s">
        <v>175</v>
      </c>
      <c r="L234" t="s">
        <v>27</v>
      </c>
      <c r="M234" t="s">
        <v>874</v>
      </c>
      <c r="N234" t="s">
        <v>915</v>
      </c>
    </row>
    <row r="235" spans="1:14" ht="30" x14ac:dyDescent="0.25">
      <c r="A235" s="84">
        <v>45853.360879629632</v>
      </c>
      <c r="B235" s="83">
        <v>56</v>
      </c>
      <c r="C235" s="83" t="s">
        <v>236</v>
      </c>
      <c r="D235" s="83" t="s">
        <v>68</v>
      </c>
      <c r="E235" s="83" t="s">
        <v>75</v>
      </c>
      <c r="I235" s="99">
        <v>45855.488321759258</v>
      </c>
      <c r="J235">
        <v>78</v>
      </c>
      <c r="K235" t="s">
        <v>391</v>
      </c>
      <c r="L235" t="s">
        <v>21</v>
      </c>
      <c r="M235" t="s">
        <v>872</v>
      </c>
      <c r="N235" t="s">
        <v>916</v>
      </c>
    </row>
    <row r="236" spans="1:14" ht="30" x14ac:dyDescent="0.25">
      <c r="A236" s="84">
        <v>45853.360879629632</v>
      </c>
      <c r="B236" s="83">
        <v>57</v>
      </c>
      <c r="C236" s="83" t="s">
        <v>241</v>
      </c>
      <c r="D236" s="83" t="s">
        <v>61</v>
      </c>
      <c r="E236" s="83" t="s">
        <v>17</v>
      </c>
      <c r="I236" s="99">
        <v>45855.488333333335</v>
      </c>
      <c r="J236">
        <v>79</v>
      </c>
      <c r="K236" t="s">
        <v>122</v>
      </c>
      <c r="L236" t="s">
        <v>26</v>
      </c>
      <c r="M236" t="s">
        <v>870</v>
      </c>
      <c r="N236" t="s">
        <v>917</v>
      </c>
    </row>
    <row r="237" spans="1:14" ht="30" x14ac:dyDescent="0.25">
      <c r="A237" s="84">
        <v>45853.360891203702</v>
      </c>
      <c r="B237" s="83">
        <v>58</v>
      </c>
      <c r="C237" s="83" t="s">
        <v>246</v>
      </c>
      <c r="D237" s="83" t="s">
        <v>61</v>
      </c>
      <c r="E237" s="83" t="s">
        <v>17</v>
      </c>
      <c r="I237" s="99">
        <v>45855.488333333335</v>
      </c>
      <c r="J237">
        <v>81</v>
      </c>
      <c r="K237" t="s">
        <v>602</v>
      </c>
      <c r="L237" t="s">
        <v>26</v>
      </c>
      <c r="M237" t="s">
        <v>863</v>
      </c>
      <c r="N237" t="s">
        <v>918</v>
      </c>
    </row>
    <row r="238" spans="1:14" ht="30" x14ac:dyDescent="0.25">
      <c r="A238" s="84">
        <v>45853.360891203702</v>
      </c>
      <c r="B238" s="83">
        <v>59</v>
      </c>
      <c r="C238" s="83" t="s">
        <v>250</v>
      </c>
      <c r="D238" s="83" t="s">
        <v>68</v>
      </c>
      <c r="E238" s="83" t="s">
        <v>17</v>
      </c>
      <c r="I238" s="99">
        <v>45855.488344907404</v>
      </c>
      <c r="J238">
        <v>85</v>
      </c>
      <c r="K238" t="s">
        <v>230</v>
      </c>
      <c r="L238" t="s">
        <v>27</v>
      </c>
      <c r="M238" t="s">
        <v>861</v>
      </c>
      <c r="N238" t="s">
        <v>919</v>
      </c>
    </row>
    <row r="239" spans="1:14" ht="30" x14ac:dyDescent="0.25">
      <c r="A239" s="84">
        <v>45853.360891203702</v>
      </c>
      <c r="B239" s="83">
        <v>60</v>
      </c>
      <c r="C239" s="83" t="s">
        <v>255</v>
      </c>
      <c r="D239" s="83" t="s">
        <v>68</v>
      </c>
      <c r="E239" s="83" t="s">
        <v>17</v>
      </c>
      <c r="I239" s="99">
        <v>45855.488356481481</v>
      </c>
      <c r="J239">
        <v>89</v>
      </c>
      <c r="K239" t="s">
        <v>295</v>
      </c>
      <c r="L239" t="s">
        <v>29</v>
      </c>
      <c r="M239" t="s">
        <v>866</v>
      </c>
      <c r="N239" t="s">
        <v>920</v>
      </c>
    </row>
    <row r="240" spans="1:14" ht="30" x14ac:dyDescent="0.25">
      <c r="A240" s="84">
        <v>45853.360891203702</v>
      </c>
      <c r="B240" s="83">
        <v>61</v>
      </c>
      <c r="C240" s="83" t="s">
        <v>264</v>
      </c>
      <c r="D240" s="83" t="s">
        <v>736</v>
      </c>
      <c r="E240" s="83" t="s">
        <v>17</v>
      </c>
      <c r="I240" s="99">
        <v>45855.488506944443</v>
      </c>
      <c r="J240">
        <v>91</v>
      </c>
      <c r="K240" t="s">
        <v>255</v>
      </c>
      <c r="L240" t="s">
        <v>30</v>
      </c>
      <c r="M240" t="s">
        <v>862</v>
      </c>
      <c r="N240" t="s">
        <v>921</v>
      </c>
    </row>
    <row r="241" spans="1:14" ht="30" x14ac:dyDescent="0.25">
      <c r="A241" s="84">
        <v>45853.360891203702</v>
      </c>
      <c r="B241" s="83">
        <v>62</v>
      </c>
      <c r="C241" s="83" t="s">
        <v>267</v>
      </c>
      <c r="D241" s="83" t="s">
        <v>736</v>
      </c>
      <c r="E241" s="83" t="s">
        <v>17</v>
      </c>
      <c r="I241" s="99">
        <v>45862.504166666666</v>
      </c>
      <c r="J241">
        <v>83</v>
      </c>
      <c r="K241" t="s">
        <v>602</v>
      </c>
      <c r="L241" t="s">
        <v>944</v>
      </c>
      <c r="M241" t="s">
        <v>947</v>
      </c>
      <c r="N241" t="s">
        <v>949</v>
      </c>
    </row>
    <row r="242" spans="1:14" ht="30" x14ac:dyDescent="0.25">
      <c r="A242" s="84">
        <v>45853.360891203702</v>
      </c>
      <c r="B242" s="83">
        <v>63</v>
      </c>
      <c r="C242" s="83" t="s">
        <v>270</v>
      </c>
      <c r="D242" s="83" t="s">
        <v>61</v>
      </c>
      <c r="E242" s="83" t="s">
        <v>17</v>
      </c>
      <c r="I242" s="99">
        <v>45862.508009259262</v>
      </c>
      <c r="J242">
        <v>77</v>
      </c>
      <c r="K242" t="s">
        <v>108</v>
      </c>
      <c r="L242" t="s">
        <v>25</v>
      </c>
      <c r="M242" t="s">
        <v>931</v>
      </c>
      <c r="N242" t="s">
        <v>950</v>
      </c>
    </row>
    <row r="243" spans="1:14" ht="30" x14ac:dyDescent="0.25">
      <c r="A243" s="84">
        <v>45853.360902777778</v>
      </c>
      <c r="B243" s="83">
        <v>64</v>
      </c>
      <c r="C243" s="83" t="s">
        <v>273</v>
      </c>
      <c r="D243" s="83" t="s">
        <v>736</v>
      </c>
      <c r="E243" s="83" t="s">
        <v>75</v>
      </c>
      <c r="I243" s="99">
        <v>45862.508020833331</v>
      </c>
      <c r="J243">
        <v>79</v>
      </c>
      <c r="K243" t="s">
        <v>103</v>
      </c>
      <c r="L243" t="s">
        <v>26</v>
      </c>
      <c r="M243" t="s">
        <v>932</v>
      </c>
      <c r="N243" t="s">
        <v>951</v>
      </c>
    </row>
    <row r="244" spans="1:14" ht="30" x14ac:dyDescent="0.25">
      <c r="A244" s="84">
        <v>45853.360902777778</v>
      </c>
      <c r="B244" s="83">
        <v>65</v>
      </c>
      <c r="C244" s="83" t="s">
        <v>277</v>
      </c>
      <c r="D244" s="83" t="s">
        <v>736</v>
      </c>
      <c r="E244" s="83" t="s">
        <v>17</v>
      </c>
      <c r="I244" s="99">
        <v>45862.508020833331</v>
      </c>
      <c r="J244">
        <v>80</v>
      </c>
      <c r="K244" t="s">
        <v>122</v>
      </c>
      <c r="L244" t="s">
        <v>26</v>
      </c>
      <c r="M244" t="s">
        <v>933</v>
      </c>
      <c r="N244" t="s">
        <v>952</v>
      </c>
    </row>
    <row r="245" spans="1:14" ht="30" x14ac:dyDescent="0.25">
      <c r="A245" s="84">
        <v>45853.360902777778</v>
      </c>
      <c r="B245" s="83">
        <v>66</v>
      </c>
      <c r="C245" s="83" t="s">
        <v>280</v>
      </c>
      <c r="D245" s="83" t="s">
        <v>68</v>
      </c>
      <c r="E245" s="83" t="s">
        <v>17</v>
      </c>
      <c r="I245" s="99">
        <v>45862.508055555554</v>
      </c>
      <c r="J245">
        <v>89</v>
      </c>
      <c r="K245" t="s">
        <v>372</v>
      </c>
      <c r="L245" t="s">
        <v>27</v>
      </c>
      <c r="M245" t="s">
        <v>935</v>
      </c>
      <c r="N245" t="s">
        <v>953</v>
      </c>
    </row>
    <row r="246" spans="1:14" ht="30" x14ac:dyDescent="0.25">
      <c r="A246" s="84">
        <v>45853.360902777778</v>
      </c>
      <c r="B246" s="83">
        <v>67</v>
      </c>
      <c r="C246" s="83" t="s">
        <v>286</v>
      </c>
      <c r="D246" s="83" t="s">
        <v>736</v>
      </c>
      <c r="E246" s="83" t="s">
        <v>75</v>
      </c>
      <c r="I246" s="99">
        <v>45862.508055555554</v>
      </c>
      <c r="J246">
        <v>90</v>
      </c>
      <c r="K246" t="s">
        <v>225</v>
      </c>
      <c r="L246" t="s">
        <v>28</v>
      </c>
      <c r="M246" t="s">
        <v>942</v>
      </c>
      <c r="N246" t="s">
        <v>954</v>
      </c>
    </row>
    <row r="247" spans="1:14" ht="30" x14ac:dyDescent="0.25">
      <c r="A247" s="84">
        <v>45853.360902777778</v>
      </c>
      <c r="B247" s="83">
        <v>68</v>
      </c>
      <c r="C247" s="83" t="s">
        <v>290</v>
      </c>
      <c r="D247" s="83" t="s">
        <v>736</v>
      </c>
      <c r="E247" s="83" t="s">
        <v>75</v>
      </c>
      <c r="I247" s="99">
        <v>45862.508055555554</v>
      </c>
      <c r="J247">
        <v>91</v>
      </c>
      <c r="K247" t="s">
        <v>280</v>
      </c>
      <c r="L247" t="s">
        <v>29</v>
      </c>
      <c r="M247" t="s">
        <v>943</v>
      </c>
      <c r="N247" t="s">
        <v>955</v>
      </c>
    </row>
    <row r="248" spans="1:14" ht="30" x14ac:dyDescent="0.25">
      <c r="A248" s="84">
        <v>45853.360902777778</v>
      </c>
      <c r="B248" s="83">
        <v>69</v>
      </c>
      <c r="C248" s="83" t="s">
        <v>295</v>
      </c>
      <c r="D248" s="83" t="s">
        <v>68</v>
      </c>
      <c r="E248" s="83" t="s">
        <v>17</v>
      </c>
      <c r="I248" s="99">
        <v>45862.508067129631</v>
      </c>
      <c r="J248">
        <v>92</v>
      </c>
      <c r="K248" t="s">
        <v>295</v>
      </c>
      <c r="L248" t="s">
        <v>30</v>
      </c>
      <c r="M248" t="s">
        <v>936</v>
      </c>
      <c r="N248" t="s">
        <v>956</v>
      </c>
    </row>
    <row r="249" spans="1:14" ht="30" x14ac:dyDescent="0.25">
      <c r="A249" s="84">
        <v>45853.360902777778</v>
      </c>
      <c r="B249" s="83">
        <v>70</v>
      </c>
      <c r="C249" s="83" t="s">
        <v>299</v>
      </c>
      <c r="D249" s="83" t="s">
        <v>61</v>
      </c>
      <c r="E249" s="83" t="s">
        <v>75</v>
      </c>
      <c r="I249" s="99">
        <v>45862.508067129631</v>
      </c>
      <c r="J249">
        <v>93</v>
      </c>
      <c r="K249" t="s">
        <v>250</v>
      </c>
      <c r="L249" t="s">
        <v>30</v>
      </c>
      <c r="M249" t="s">
        <v>939</v>
      </c>
      <c r="N249" t="s">
        <v>957</v>
      </c>
    </row>
    <row r="250" spans="1:14" ht="30" x14ac:dyDescent="0.25">
      <c r="A250" s="84">
        <v>45853.360902777778</v>
      </c>
      <c r="B250" s="83">
        <v>71</v>
      </c>
      <c r="C250" s="83" t="s">
        <v>302</v>
      </c>
      <c r="D250" s="83" t="s">
        <v>61</v>
      </c>
      <c r="E250" s="83" t="s">
        <v>75</v>
      </c>
      <c r="I250" s="99">
        <v>45862.508067129631</v>
      </c>
      <c r="J250">
        <v>94</v>
      </c>
      <c r="K250" t="s">
        <v>255</v>
      </c>
      <c r="L250" t="s">
        <v>30</v>
      </c>
      <c r="M250" t="s">
        <v>940</v>
      </c>
      <c r="N250" t="s">
        <v>958</v>
      </c>
    </row>
    <row r="251" spans="1:14" ht="30" x14ac:dyDescent="0.25">
      <c r="A251" s="84">
        <v>45853.360902777778</v>
      </c>
      <c r="B251" s="83">
        <v>72</v>
      </c>
      <c r="C251" s="83" t="s">
        <v>305</v>
      </c>
      <c r="D251" s="83" t="s">
        <v>61</v>
      </c>
      <c r="E251" s="83" t="s">
        <v>75</v>
      </c>
      <c r="I251" s="99">
        <v>45862.509675925925</v>
      </c>
      <c r="J251">
        <v>99</v>
      </c>
      <c r="K251" t="s">
        <v>357</v>
      </c>
      <c r="L251" t="s">
        <v>30</v>
      </c>
      <c r="M251" t="s">
        <v>937</v>
      </c>
      <c r="N251" t="s">
        <v>959</v>
      </c>
    </row>
    <row r="252" spans="1:14" ht="30" x14ac:dyDescent="0.25">
      <c r="A252" s="84">
        <v>45853.360902777778</v>
      </c>
      <c r="B252" s="83">
        <v>73</v>
      </c>
      <c r="C252" s="83" t="s">
        <v>308</v>
      </c>
      <c r="D252" s="83" t="s">
        <v>61</v>
      </c>
      <c r="E252" s="83" t="s">
        <v>75</v>
      </c>
      <c r="I252" s="99">
        <v>45862.509675925925</v>
      </c>
      <c r="J252">
        <v>100</v>
      </c>
      <c r="K252" t="s">
        <v>395</v>
      </c>
      <c r="L252" t="s">
        <v>30</v>
      </c>
      <c r="M252" t="s">
        <v>938</v>
      </c>
      <c r="N252" t="s">
        <v>960</v>
      </c>
    </row>
    <row r="253" spans="1:14" ht="30" x14ac:dyDescent="0.25">
      <c r="A253" s="84">
        <v>45853.360914351855</v>
      </c>
      <c r="B253" s="83">
        <v>74</v>
      </c>
      <c r="C253" s="83" t="s">
        <v>311</v>
      </c>
      <c r="D253" s="83" t="s">
        <v>61</v>
      </c>
      <c r="E253" s="83" t="s">
        <v>75</v>
      </c>
      <c r="I253" s="99">
        <v>45862.509675925925</v>
      </c>
      <c r="J253">
        <v>101</v>
      </c>
      <c r="K253" t="s">
        <v>382</v>
      </c>
      <c r="L253" t="s">
        <v>55</v>
      </c>
      <c r="M253" t="s">
        <v>948</v>
      </c>
      <c r="N253" t="s">
        <v>961</v>
      </c>
    </row>
    <row r="254" spans="1:14" ht="30" x14ac:dyDescent="0.25">
      <c r="A254" s="84">
        <v>45853.360914351855</v>
      </c>
      <c r="B254" s="83">
        <v>75</v>
      </c>
      <c r="C254" s="83" t="s">
        <v>314</v>
      </c>
      <c r="D254" s="83" t="s">
        <v>68</v>
      </c>
      <c r="E254" s="83" t="s">
        <v>17</v>
      </c>
      <c r="I254" s="99">
        <v>45867.342361111114</v>
      </c>
      <c r="J254">
        <v>103</v>
      </c>
      <c r="K254" t="s">
        <v>1008</v>
      </c>
      <c r="L254" t="s">
        <v>23</v>
      </c>
      <c r="N254" t="s">
        <v>1117</v>
      </c>
    </row>
    <row r="255" spans="1:14" ht="30" x14ac:dyDescent="0.25">
      <c r="A255" s="84">
        <v>45853.360914351855</v>
      </c>
      <c r="B255" s="83">
        <v>76</v>
      </c>
      <c r="C255" s="83" t="s">
        <v>318</v>
      </c>
      <c r="D255" s="83" t="s">
        <v>68</v>
      </c>
      <c r="E255" s="83" t="s">
        <v>17</v>
      </c>
      <c r="I255" s="99">
        <v>45867.496076388888</v>
      </c>
      <c r="J255">
        <v>52</v>
      </c>
      <c r="K255" t="s">
        <v>996</v>
      </c>
      <c r="L255" t="s">
        <v>23</v>
      </c>
      <c r="M255" t="s">
        <v>1015</v>
      </c>
      <c r="N255" t="s">
        <v>1118</v>
      </c>
    </row>
    <row r="256" spans="1:14" ht="30" x14ac:dyDescent="0.25">
      <c r="A256" s="84">
        <v>45853.360914351855</v>
      </c>
      <c r="B256" s="83">
        <v>77</v>
      </c>
      <c r="C256" s="83" t="s">
        <v>323</v>
      </c>
      <c r="D256" s="83" t="s">
        <v>68</v>
      </c>
      <c r="E256" s="83" t="s">
        <v>17</v>
      </c>
      <c r="I256" s="99">
        <v>45868.586238425924</v>
      </c>
      <c r="J256">
        <v>82</v>
      </c>
      <c r="K256" t="s">
        <v>1019</v>
      </c>
      <c r="L256" t="s">
        <v>23</v>
      </c>
      <c r="N256" t="s">
        <v>1119</v>
      </c>
    </row>
    <row r="257" spans="1:14" ht="30" x14ac:dyDescent="0.25">
      <c r="A257" s="84">
        <v>45853.360914351855</v>
      </c>
      <c r="B257" s="83">
        <v>78</v>
      </c>
      <c r="C257" s="83" t="s">
        <v>328</v>
      </c>
      <c r="D257" s="83" t="s">
        <v>61</v>
      </c>
      <c r="E257" s="83" t="s">
        <v>17</v>
      </c>
      <c r="I257" s="99">
        <v>45883.575150462966</v>
      </c>
      <c r="J257">
        <v>92</v>
      </c>
      <c r="K257" t="s">
        <v>996</v>
      </c>
      <c r="L257" t="s">
        <v>944</v>
      </c>
      <c r="M257" t="s">
        <v>1083</v>
      </c>
      <c r="N257" t="s">
        <v>1120</v>
      </c>
    </row>
    <row r="258" spans="1:14" ht="30" x14ac:dyDescent="0.25">
      <c r="A258" s="84">
        <v>45853.360914351855</v>
      </c>
      <c r="B258" s="83">
        <v>79</v>
      </c>
      <c r="C258" s="83" t="s">
        <v>332</v>
      </c>
      <c r="D258" s="83" t="s">
        <v>68</v>
      </c>
      <c r="E258" s="83" t="s">
        <v>17</v>
      </c>
      <c r="I258" s="99">
        <v>45883.576493055552</v>
      </c>
      <c r="J258">
        <v>51</v>
      </c>
      <c r="K258" t="s">
        <v>739</v>
      </c>
      <c r="L258" t="s">
        <v>23</v>
      </c>
      <c r="M258" t="s">
        <v>1069</v>
      </c>
      <c r="N258" t="s">
        <v>1121</v>
      </c>
    </row>
    <row r="259" spans="1:14" ht="30" x14ac:dyDescent="0.25">
      <c r="A259" s="84">
        <v>45853.360914351855</v>
      </c>
      <c r="B259" s="83">
        <v>80</v>
      </c>
      <c r="C259" s="83" t="s">
        <v>338</v>
      </c>
      <c r="D259" s="83" t="s">
        <v>736</v>
      </c>
      <c r="E259" s="83" t="s">
        <v>75</v>
      </c>
      <c r="I259" s="99">
        <v>45883.576493055552</v>
      </c>
      <c r="J259">
        <v>53</v>
      </c>
      <c r="K259" t="s">
        <v>1008</v>
      </c>
      <c r="L259" t="s">
        <v>23</v>
      </c>
      <c r="M259" t="s">
        <v>1024</v>
      </c>
      <c r="N259" t="s">
        <v>1122</v>
      </c>
    </row>
    <row r="260" spans="1:14" ht="30" x14ac:dyDescent="0.25">
      <c r="A260" s="84">
        <v>45853.360914351855</v>
      </c>
      <c r="B260" s="83">
        <v>81</v>
      </c>
      <c r="C260" s="83" t="s">
        <v>345</v>
      </c>
      <c r="D260" s="83" t="s">
        <v>736</v>
      </c>
      <c r="E260" s="83" t="s">
        <v>16</v>
      </c>
      <c r="I260" s="99">
        <v>45883.576527777775</v>
      </c>
      <c r="J260">
        <v>87</v>
      </c>
      <c r="K260" t="s">
        <v>122</v>
      </c>
      <c r="L260" t="s">
        <v>26</v>
      </c>
      <c r="M260" t="s">
        <v>1002</v>
      </c>
      <c r="N260" t="s">
        <v>1123</v>
      </c>
    </row>
    <row r="261" spans="1:14" ht="30" x14ac:dyDescent="0.25">
      <c r="A261" s="84">
        <v>45853.360914351855</v>
      </c>
      <c r="B261" s="83">
        <v>82</v>
      </c>
      <c r="C261" s="83" t="s">
        <v>348</v>
      </c>
      <c r="D261" s="83" t="s">
        <v>736</v>
      </c>
      <c r="E261" s="83" t="s">
        <v>17</v>
      </c>
      <c r="I261" s="99">
        <v>45883.576527777775</v>
      </c>
      <c r="J261">
        <v>89</v>
      </c>
      <c r="K261" t="s">
        <v>193</v>
      </c>
      <c r="L261" t="s">
        <v>26</v>
      </c>
      <c r="M261" t="s">
        <v>1070</v>
      </c>
      <c r="N261" t="s">
        <v>1124</v>
      </c>
    </row>
    <row r="262" spans="1:14" ht="30" x14ac:dyDescent="0.25">
      <c r="A262" s="84">
        <v>45853.360914351855</v>
      </c>
      <c r="B262" s="83">
        <v>83</v>
      </c>
      <c r="C262" s="83" t="s">
        <v>351</v>
      </c>
      <c r="D262" s="83" t="s">
        <v>736</v>
      </c>
      <c r="E262" s="83" t="s">
        <v>75</v>
      </c>
      <c r="I262" s="99">
        <v>45883.576550925929</v>
      </c>
      <c r="J262">
        <v>95</v>
      </c>
      <c r="K262" t="s">
        <v>372</v>
      </c>
      <c r="L262" t="s">
        <v>27</v>
      </c>
      <c r="M262" t="s">
        <v>963</v>
      </c>
      <c r="N262" t="s">
        <v>1125</v>
      </c>
    </row>
    <row r="263" spans="1:14" ht="30" x14ac:dyDescent="0.25">
      <c r="A263" s="84">
        <v>45853.360914351855</v>
      </c>
      <c r="B263" s="83">
        <v>84</v>
      </c>
      <c r="C263" s="83" t="s">
        <v>357</v>
      </c>
      <c r="D263" s="83" t="s">
        <v>68</v>
      </c>
      <c r="E263" s="83" t="s">
        <v>17</v>
      </c>
      <c r="I263" s="99">
        <v>45883.576550925929</v>
      </c>
      <c r="J263">
        <v>99</v>
      </c>
      <c r="K263" t="s">
        <v>318</v>
      </c>
      <c r="L263" t="s">
        <v>28</v>
      </c>
      <c r="M263" t="s">
        <v>1014</v>
      </c>
      <c r="N263" t="s">
        <v>1126</v>
      </c>
    </row>
    <row r="264" spans="1:14" ht="30" x14ac:dyDescent="0.25">
      <c r="A264" s="84">
        <v>45853.360925925925</v>
      </c>
      <c r="B264" s="83">
        <v>85</v>
      </c>
      <c r="C264" s="83" t="s">
        <v>360</v>
      </c>
      <c r="D264" s="83" t="s">
        <v>736</v>
      </c>
      <c r="E264" s="83" t="s">
        <v>16</v>
      </c>
      <c r="I264" s="99">
        <v>45883.576574074075</v>
      </c>
      <c r="J264">
        <v>100</v>
      </c>
      <c r="K264" t="s">
        <v>225</v>
      </c>
      <c r="L264" t="s">
        <v>28</v>
      </c>
      <c r="M264" t="s">
        <v>1113</v>
      </c>
      <c r="N264" t="s">
        <v>1127</v>
      </c>
    </row>
    <row r="265" spans="1:14" ht="30" x14ac:dyDescent="0.25">
      <c r="A265" s="84">
        <v>45853.360925925925</v>
      </c>
      <c r="B265" s="83">
        <v>86</v>
      </c>
      <c r="C265" s="83" t="s">
        <v>365</v>
      </c>
      <c r="D265" s="83" t="s">
        <v>736</v>
      </c>
      <c r="E265" s="83" t="s">
        <v>17</v>
      </c>
      <c r="I265" s="99">
        <v>45883.576574074075</v>
      </c>
      <c r="J265">
        <v>101</v>
      </c>
      <c r="K265" t="s">
        <v>280</v>
      </c>
      <c r="L265" t="s">
        <v>29</v>
      </c>
      <c r="M265" t="s">
        <v>1025</v>
      </c>
      <c r="N265" t="s">
        <v>1128</v>
      </c>
    </row>
    <row r="266" spans="1:14" ht="30" x14ac:dyDescent="0.25">
      <c r="A266" s="84">
        <v>45853.360925925925</v>
      </c>
      <c r="B266" s="83">
        <v>87</v>
      </c>
      <c r="C266" s="83" t="s">
        <v>368</v>
      </c>
      <c r="D266" s="83" t="s">
        <v>736</v>
      </c>
      <c r="E266" s="83" t="s">
        <v>75</v>
      </c>
      <c r="I266" s="99">
        <v>45883.576585648145</v>
      </c>
      <c r="J266">
        <v>102</v>
      </c>
      <c r="K266" t="s">
        <v>250</v>
      </c>
      <c r="L266" t="s">
        <v>29</v>
      </c>
      <c r="M266" t="s">
        <v>1071</v>
      </c>
      <c r="N266" t="s">
        <v>1129</v>
      </c>
    </row>
    <row r="267" spans="1:14" ht="30" x14ac:dyDescent="0.25">
      <c r="A267" s="84">
        <v>45853.360925925925</v>
      </c>
      <c r="B267" s="83">
        <v>88</v>
      </c>
      <c r="C267" s="83" t="s">
        <v>372</v>
      </c>
      <c r="D267" s="83" t="s">
        <v>68</v>
      </c>
      <c r="E267" s="83" t="s">
        <v>17</v>
      </c>
      <c r="I267" s="99">
        <v>45883.576597222222</v>
      </c>
      <c r="J267">
        <v>103</v>
      </c>
      <c r="K267" t="s">
        <v>255</v>
      </c>
      <c r="L267" t="s">
        <v>30</v>
      </c>
      <c r="M267" t="s">
        <v>1068</v>
      </c>
      <c r="N267" t="s">
        <v>1130</v>
      </c>
    </row>
    <row r="268" spans="1:14" ht="30" x14ac:dyDescent="0.25">
      <c r="A268" s="84">
        <v>45853.360925925925</v>
      </c>
      <c r="B268" s="83">
        <v>89</v>
      </c>
      <c r="C268" s="83" t="s">
        <v>375</v>
      </c>
      <c r="D268" s="83" t="s">
        <v>61</v>
      </c>
      <c r="E268" s="83" t="s">
        <v>75</v>
      </c>
      <c r="I268" s="99">
        <v>45883.576608796298</v>
      </c>
      <c r="J268">
        <v>104</v>
      </c>
      <c r="K268" t="s">
        <v>295</v>
      </c>
      <c r="L268" t="s">
        <v>30</v>
      </c>
      <c r="M268" t="s">
        <v>1067</v>
      </c>
      <c r="N268" t="s">
        <v>1131</v>
      </c>
    </row>
    <row r="269" spans="1:14" ht="30" x14ac:dyDescent="0.25">
      <c r="A269" s="84">
        <v>45853.360925925925</v>
      </c>
      <c r="B269" s="83">
        <v>90</v>
      </c>
      <c r="C269" s="83" t="s">
        <v>380</v>
      </c>
      <c r="D269" s="83" t="s">
        <v>736</v>
      </c>
      <c r="E269" s="83" t="s">
        <v>16</v>
      </c>
      <c r="I269" s="99">
        <v>45883.576608796298</v>
      </c>
      <c r="J269">
        <v>106</v>
      </c>
      <c r="K269" t="s">
        <v>323</v>
      </c>
      <c r="L269" t="s">
        <v>30</v>
      </c>
      <c r="M269" t="s">
        <v>1114</v>
      </c>
      <c r="N269" t="s">
        <v>1132</v>
      </c>
    </row>
    <row r="270" spans="1:14" ht="30" x14ac:dyDescent="0.25">
      <c r="A270" s="84">
        <v>45853.360925925925</v>
      </c>
      <c r="B270" s="83">
        <v>91</v>
      </c>
      <c r="C270" s="83" t="s">
        <v>382</v>
      </c>
      <c r="D270" s="83" t="s">
        <v>68</v>
      </c>
      <c r="E270" s="83" t="s">
        <v>17</v>
      </c>
      <c r="I270" s="99">
        <v>45883.576620370368</v>
      </c>
      <c r="J270">
        <v>107</v>
      </c>
      <c r="K270" t="s">
        <v>332</v>
      </c>
      <c r="L270" t="s">
        <v>30</v>
      </c>
      <c r="M270" t="s">
        <v>1114</v>
      </c>
      <c r="N270" t="s">
        <v>1133</v>
      </c>
    </row>
    <row r="271" spans="1:14" ht="30" x14ac:dyDescent="0.25">
      <c r="A271" s="84">
        <v>45853.360925925925</v>
      </c>
      <c r="B271" s="83">
        <v>92</v>
      </c>
      <c r="C271" s="83" t="s">
        <v>387</v>
      </c>
      <c r="D271" s="83" t="s">
        <v>61</v>
      </c>
      <c r="E271" s="83" t="s">
        <v>75</v>
      </c>
      <c r="I271" s="99">
        <v>45883.576620370368</v>
      </c>
      <c r="J271">
        <v>108</v>
      </c>
      <c r="K271" t="s">
        <v>395</v>
      </c>
      <c r="L271" t="s">
        <v>30</v>
      </c>
      <c r="M271" t="s">
        <v>1112</v>
      </c>
      <c r="N271" t="s">
        <v>1134</v>
      </c>
    </row>
    <row r="272" spans="1:14" ht="30" x14ac:dyDescent="0.25">
      <c r="A272" s="84">
        <v>45853.360925925925</v>
      </c>
      <c r="B272" s="83">
        <v>93</v>
      </c>
      <c r="C272" s="83" t="s">
        <v>391</v>
      </c>
      <c r="D272" s="83" t="s">
        <v>68</v>
      </c>
      <c r="E272" s="83" t="s">
        <v>17</v>
      </c>
      <c r="I272" s="99">
        <v>45884.571423611109</v>
      </c>
      <c r="J272">
        <v>51</v>
      </c>
      <c r="K272" t="s">
        <v>739</v>
      </c>
      <c r="L272" t="s">
        <v>944</v>
      </c>
      <c r="M272" t="s">
        <v>1069</v>
      </c>
      <c r="N272" t="s">
        <v>1135</v>
      </c>
    </row>
    <row r="273" spans="1:5" ht="30" x14ac:dyDescent="0.25">
      <c r="A273" s="84">
        <v>45853.360925925925</v>
      </c>
      <c r="B273" s="83">
        <v>94</v>
      </c>
      <c r="C273" s="83" t="s">
        <v>395</v>
      </c>
      <c r="D273" s="83" t="s">
        <v>68</v>
      </c>
      <c r="E273" s="83" t="s">
        <v>17</v>
      </c>
    </row>
    <row r="274" spans="1:5" ht="30" x14ac:dyDescent="0.25">
      <c r="A274" s="84">
        <v>45853.360925925925</v>
      </c>
      <c r="B274" s="83">
        <v>95</v>
      </c>
      <c r="C274" s="83" t="s">
        <v>602</v>
      </c>
      <c r="D274" s="83" t="s">
        <v>68</v>
      </c>
      <c r="E274" s="83" t="s">
        <v>17</v>
      </c>
    </row>
    <row r="275" spans="1:5" ht="30" x14ac:dyDescent="0.25">
      <c r="A275" s="84">
        <v>45853.360925925925</v>
      </c>
      <c r="B275" s="83">
        <v>96</v>
      </c>
      <c r="C275" s="83" t="s">
        <v>618</v>
      </c>
      <c r="D275" s="83" t="s">
        <v>68</v>
      </c>
      <c r="E275" s="83" t="s">
        <v>17</v>
      </c>
    </row>
    <row r="276" spans="1:5" ht="30" x14ac:dyDescent="0.25">
      <c r="A276" s="84">
        <v>45853.360925925925</v>
      </c>
      <c r="B276" s="83">
        <v>97</v>
      </c>
      <c r="C276" s="83" t="s">
        <v>739</v>
      </c>
      <c r="D276" s="83" t="s">
        <v>68</v>
      </c>
      <c r="E276" s="83" t="s">
        <v>17</v>
      </c>
    </row>
    <row r="277" spans="1:5" ht="30" x14ac:dyDescent="0.25">
      <c r="A277" s="84">
        <v>45853.360925925925</v>
      </c>
      <c r="B277" s="83">
        <v>98</v>
      </c>
      <c r="C277" s="83" t="s">
        <v>760</v>
      </c>
      <c r="D277" s="83" t="s">
        <v>736</v>
      </c>
      <c r="E277" s="83" t="s">
        <v>75</v>
      </c>
    </row>
    <row r="278" spans="1:5" ht="30" x14ac:dyDescent="0.25">
      <c r="A278" s="84">
        <v>45853.417372685188</v>
      </c>
      <c r="B278" s="83">
        <v>14</v>
      </c>
      <c r="C278" s="83" t="s">
        <v>56</v>
      </c>
      <c r="D278" s="83" t="s">
        <v>736</v>
      </c>
      <c r="E278" s="83" t="s">
        <v>59</v>
      </c>
    </row>
    <row r="279" spans="1:5" ht="30" x14ac:dyDescent="0.25">
      <c r="A279" s="84">
        <v>45853.417372685188</v>
      </c>
      <c r="B279" s="83">
        <v>15</v>
      </c>
      <c r="C279" s="83" t="s">
        <v>65</v>
      </c>
      <c r="D279" s="83" t="s">
        <v>68</v>
      </c>
      <c r="E279" s="83" t="s">
        <v>17</v>
      </c>
    </row>
    <row r="280" spans="1:5" ht="30" x14ac:dyDescent="0.25">
      <c r="A280" s="84">
        <v>45853.417384259257</v>
      </c>
      <c r="B280" s="83">
        <v>16</v>
      </c>
      <c r="C280" s="83" t="s">
        <v>73</v>
      </c>
      <c r="D280" s="83" t="s">
        <v>736</v>
      </c>
      <c r="E280" s="83" t="s">
        <v>75</v>
      </c>
    </row>
    <row r="281" spans="1:5" ht="30" x14ac:dyDescent="0.25">
      <c r="A281" s="84">
        <v>45853.417384259257</v>
      </c>
      <c r="B281" s="83">
        <v>17</v>
      </c>
      <c r="C281" s="83" t="s">
        <v>78</v>
      </c>
      <c r="D281" s="83" t="s">
        <v>736</v>
      </c>
      <c r="E281" s="83" t="s">
        <v>75</v>
      </c>
    </row>
    <row r="282" spans="1:5" ht="30" x14ac:dyDescent="0.25">
      <c r="A282" s="84">
        <v>45853.417384259257</v>
      </c>
      <c r="B282" s="83">
        <v>18</v>
      </c>
      <c r="C282" s="83" t="s">
        <v>82</v>
      </c>
      <c r="D282" s="83" t="s">
        <v>61</v>
      </c>
      <c r="E282" s="83" t="s">
        <v>75</v>
      </c>
    </row>
    <row r="283" spans="1:5" ht="30" x14ac:dyDescent="0.25">
      <c r="A283" s="84">
        <v>45853.417395833334</v>
      </c>
      <c r="B283" s="83">
        <v>19</v>
      </c>
      <c r="C283" s="83" t="s">
        <v>85</v>
      </c>
      <c r="D283" s="83" t="s">
        <v>61</v>
      </c>
      <c r="E283" s="83" t="s">
        <v>75</v>
      </c>
    </row>
    <row r="284" spans="1:5" ht="30" x14ac:dyDescent="0.25">
      <c r="A284" s="84">
        <v>45853.417395833334</v>
      </c>
      <c r="B284" s="83">
        <v>20</v>
      </c>
      <c r="C284" s="83" t="s">
        <v>739</v>
      </c>
      <c r="D284" s="83" t="s">
        <v>68</v>
      </c>
      <c r="E284" s="83" t="s">
        <v>17</v>
      </c>
    </row>
    <row r="285" spans="1:5" ht="30" x14ac:dyDescent="0.25">
      <c r="A285" s="84">
        <v>45853.417407407411</v>
      </c>
      <c r="B285" s="83">
        <v>21</v>
      </c>
      <c r="C285" s="83" t="s">
        <v>87</v>
      </c>
      <c r="D285" s="83" t="s">
        <v>68</v>
      </c>
      <c r="E285" s="83" t="s">
        <v>17</v>
      </c>
    </row>
    <row r="286" spans="1:5" ht="30" x14ac:dyDescent="0.25">
      <c r="A286" s="84">
        <v>45853.417407407411</v>
      </c>
      <c r="B286" s="83">
        <v>22</v>
      </c>
      <c r="C286" s="83" t="s">
        <v>99</v>
      </c>
      <c r="D286" s="83" t="s">
        <v>61</v>
      </c>
      <c r="E286" s="83" t="s">
        <v>17</v>
      </c>
    </row>
    <row r="287" spans="1:5" ht="30" x14ac:dyDescent="0.25">
      <c r="A287" s="84">
        <v>45853.417407407411</v>
      </c>
      <c r="B287" s="83">
        <v>23</v>
      </c>
      <c r="C287" s="83" t="s">
        <v>101</v>
      </c>
      <c r="D287" s="83" t="s">
        <v>61</v>
      </c>
      <c r="E287" s="83" t="s">
        <v>17</v>
      </c>
    </row>
    <row r="288" spans="1:5" ht="30" x14ac:dyDescent="0.25">
      <c r="A288" s="84">
        <v>45853.41741898148</v>
      </c>
      <c r="B288" s="83">
        <v>24</v>
      </c>
      <c r="C288" s="83" t="s">
        <v>92</v>
      </c>
      <c r="D288" s="83" t="s">
        <v>68</v>
      </c>
      <c r="E288" s="83" t="s">
        <v>17</v>
      </c>
    </row>
    <row r="289" spans="1:5" ht="30" x14ac:dyDescent="0.25">
      <c r="A289" s="84">
        <v>45853.41741898148</v>
      </c>
      <c r="B289" s="83">
        <v>25</v>
      </c>
      <c r="C289" s="83" t="s">
        <v>103</v>
      </c>
      <c r="D289" s="83" t="s">
        <v>68</v>
      </c>
      <c r="E289" s="83" t="s">
        <v>17</v>
      </c>
    </row>
    <row r="290" spans="1:5" ht="30" x14ac:dyDescent="0.25">
      <c r="A290" s="84">
        <v>45853.41741898148</v>
      </c>
      <c r="B290" s="83">
        <v>26</v>
      </c>
      <c r="C290" s="83" t="s">
        <v>110</v>
      </c>
      <c r="D290" s="83" t="s">
        <v>61</v>
      </c>
      <c r="E290" s="83" t="s">
        <v>17</v>
      </c>
    </row>
    <row r="291" spans="1:5" ht="30" x14ac:dyDescent="0.25">
      <c r="A291" s="84">
        <v>45853.417430555557</v>
      </c>
      <c r="B291" s="83">
        <v>27</v>
      </c>
      <c r="C291" s="83" t="s">
        <v>108</v>
      </c>
      <c r="D291" s="83" t="s">
        <v>68</v>
      </c>
      <c r="E291" s="83" t="s">
        <v>17</v>
      </c>
    </row>
    <row r="292" spans="1:5" ht="30" x14ac:dyDescent="0.25">
      <c r="A292" s="84">
        <v>45853.417430555557</v>
      </c>
      <c r="B292" s="83">
        <v>28</v>
      </c>
      <c r="C292" s="83" t="s">
        <v>117</v>
      </c>
      <c r="D292" s="83" t="s">
        <v>68</v>
      </c>
      <c r="E292" s="83" t="s">
        <v>17</v>
      </c>
    </row>
    <row r="293" spans="1:5" ht="30" x14ac:dyDescent="0.25">
      <c r="A293" s="84">
        <v>45853.417430555557</v>
      </c>
      <c r="B293" s="83">
        <v>29</v>
      </c>
      <c r="C293" s="83" t="s">
        <v>125</v>
      </c>
      <c r="D293" s="83" t="s">
        <v>736</v>
      </c>
      <c r="E293" s="83" t="s">
        <v>17</v>
      </c>
    </row>
    <row r="294" spans="1:5" ht="30" x14ac:dyDescent="0.25">
      <c r="A294" s="84">
        <v>45853.417430555557</v>
      </c>
      <c r="B294" s="83">
        <v>30</v>
      </c>
      <c r="C294" s="83" t="s">
        <v>132</v>
      </c>
      <c r="D294" s="83" t="s">
        <v>61</v>
      </c>
      <c r="E294" s="83" t="s">
        <v>17</v>
      </c>
    </row>
    <row r="295" spans="1:5" ht="30" x14ac:dyDescent="0.25">
      <c r="A295" s="84">
        <v>45853.417442129627</v>
      </c>
      <c r="B295" s="83">
        <v>31</v>
      </c>
      <c r="C295" s="83" t="s">
        <v>137</v>
      </c>
      <c r="D295" s="83" t="s">
        <v>61</v>
      </c>
      <c r="E295" s="83" t="s">
        <v>75</v>
      </c>
    </row>
    <row r="296" spans="1:5" ht="30" x14ac:dyDescent="0.25">
      <c r="A296" s="84">
        <v>45853.417442129627</v>
      </c>
      <c r="B296" s="83">
        <v>32</v>
      </c>
      <c r="C296" s="83" t="s">
        <v>139</v>
      </c>
      <c r="D296" s="83" t="s">
        <v>61</v>
      </c>
      <c r="E296" s="83" t="s">
        <v>75</v>
      </c>
    </row>
    <row r="297" spans="1:5" ht="30" x14ac:dyDescent="0.25">
      <c r="A297" s="84">
        <v>45853.417442129627</v>
      </c>
      <c r="B297" s="83">
        <v>33</v>
      </c>
      <c r="C297" s="83" t="s">
        <v>141</v>
      </c>
      <c r="D297" s="83" t="s">
        <v>736</v>
      </c>
      <c r="E297" s="83" t="s">
        <v>59</v>
      </c>
    </row>
    <row r="298" spans="1:5" ht="30" x14ac:dyDescent="0.25">
      <c r="A298" s="84">
        <v>45853.417442129627</v>
      </c>
      <c r="B298" s="83">
        <v>34</v>
      </c>
      <c r="C298" s="83" t="s">
        <v>144</v>
      </c>
      <c r="D298" s="83" t="s">
        <v>736</v>
      </c>
      <c r="E298" s="83" t="s">
        <v>17</v>
      </c>
    </row>
    <row r="299" spans="1:5" ht="30" x14ac:dyDescent="0.25">
      <c r="A299" s="84">
        <v>45853.417442129627</v>
      </c>
      <c r="B299" s="83">
        <v>35</v>
      </c>
      <c r="C299" s="83" t="s">
        <v>148</v>
      </c>
      <c r="D299" s="83" t="s">
        <v>736</v>
      </c>
      <c r="E299" s="83" t="s">
        <v>17</v>
      </c>
    </row>
    <row r="300" spans="1:5" ht="30" x14ac:dyDescent="0.25">
      <c r="A300" s="84">
        <v>45853.417453703703</v>
      </c>
      <c r="B300" s="83">
        <v>36</v>
      </c>
      <c r="C300" s="83" t="s">
        <v>151</v>
      </c>
      <c r="D300" s="83" t="s">
        <v>736</v>
      </c>
      <c r="E300" s="83" t="s">
        <v>17</v>
      </c>
    </row>
    <row r="301" spans="1:5" ht="30" x14ac:dyDescent="0.25">
      <c r="A301" s="84">
        <v>45853.417453703703</v>
      </c>
      <c r="B301" s="83">
        <v>37</v>
      </c>
      <c r="C301" s="83" t="s">
        <v>154</v>
      </c>
      <c r="D301" s="83" t="s">
        <v>736</v>
      </c>
      <c r="E301" s="83" t="s">
        <v>17</v>
      </c>
    </row>
    <row r="302" spans="1:5" ht="30" x14ac:dyDescent="0.25">
      <c r="A302" s="84">
        <v>45853.417453703703</v>
      </c>
      <c r="B302" s="83">
        <v>38</v>
      </c>
      <c r="C302" s="83" t="s">
        <v>158</v>
      </c>
      <c r="D302" s="83" t="s">
        <v>61</v>
      </c>
      <c r="E302" s="83" t="s">
        <v>75</v>
      </c>
    </row>
    <row r="303" spans="1:5" ht="30" x14ac:dyDescent="0.25">
      <c r="A303" s="84">
        <v>45853.417453703703</v>
      </c>
      <c r="B303" s="83">
        <v>39</v>
      </c>
      <c r="C303" s="83" t="s">
        <v>160</v>
      </c>
      <c r="D303" s="83" t="s">
        <v>61</v>
      </c>
      <c r="E303" s="83" t="s">
        <v>75</v>
      </c>
    </row>
    <row r="304" spans="1:5" ht="30" x14ac:dyDescent="0.25">
      <c r="A304" s="84">
        <v>45853.41746527778</v>
      </c>
      <c r="B304" s="83">
        <v>40</v>
      </c>
      <c r="C304" s="83" t="s">
        <v>163</v>
      </c>
      <c r="D304" s="83" t="s">
        <v>61</v>
      </c>
      <c r="E304" s="83" t="s">
        <v>75</v>
      </c>
    </row>
    <row r="305" spans="1:5" ht="30" x14ac:dyDescent="0.25">
      <c r="A305" s="84">
        <v>45853.41746527778</v>
      </c>
      <c r="B305" s="83">
        <v>41</v>
      </c>
      <c r="C305" s="83" t="s">
        <v>166</v>
      </c>
      <c r="D305" s="83" t="s">
        <v>61</v>
      </c>
      <c r="E305" s="83" t="s">
        <v>75</v>
      </c>
    </row>
    <row r="306" spans="1:5" ht="30" x14ac:dyDescent="0.25">
      <c r="A306" s="84">
        <v>45853.41746527778</v>
      </c>
      <c r="B306" s="83">
        <v>42</v>
      </c>
      <c r="C306" s="83" t="s">
        <v>169</v>
      </c>
      <c r="D306" s="83" t="s">
        <v>61</v>
      </c>
      <c r="E306" s="83" t="s">
        <v>17</v>
      </c>
    </row>
    <row r="307" spans="1:5" ht="30" x14ac:dyDescent="0.25">
      <c r="A307" s="84">
        <v>45853.41747685185</v>
      </c>
      <c r="B307" s="83">
        <v>43</v>
      </c>
      <c r="C307" s="83" t="s">
        <v>175</v>
      </c>
      <c r="D307" s="83" t="s">
        <v>68</v>
      </c>
      <c r="E307" s="83" t="s">
        <v>75</v>
      </c>
    </row>
    <row r="308" spans="1:5" ht="30" x14ac:dyDescent="0.25">
      <c r="A308" s="84">
        <v>45853.41747685185</v>
      </c>
      <c r="B308" s="83">
        <v>44</v>
      </c>
      <c r="C308" s="83" t="s">
        <v>179</v>
      </c>
      <c r="D308" s="83" t="s">
        <v>736</v>
      </c>
      <c r="E308" s="83" t="s">
        <v>17</v>
      </c>
    </row>
    <row r="309" spans="1:5" ht="30" x14ac:dyDescent="0.25">
      <c r="A309" s="84">
        <v>45853.41747685185</v>
      </c>
      <c r="B309" s="83">
        <v>45</v>
      </c>
      <c r="C309" s="83" t="s">
        <v>185</v>
      </c>
      <c r="D309" s="83" t="s">
        <v>736</v>
      </c>
      <c r="E309" s="83" t="s">
        <v>17</v>
      </c>
    </row>
    <row r="310" spans="1:5" ht="30" x14ac:dyDescent="0.25">
      <c r="A310" s="84">
        <v>45853.41747685185</v>
      </c>
      <c r="B310" s="83">
        <v>46</v>
      </c>
      <c r="C310" s="83" t="s">
        <v>190</v>
      </c>
      <c r="D310" s="83" t="s">
        <v>61</v>
      </c>
      <c r="E310" s="83" t="s">
        <v>17</v>
      </c>
    </row>
    <row r="311" spans="1:5" ht="30" x14ac:dyDescent="0.25">
      <c r="A311" s="84">
        <v>45853.41747685185</v>
      </c>
      <c r="B311" s="83">
        <v>47</v>
      </c>
      <c r="C311" s="83" t="s">
        <v>391</v>
      </c>
      <c r="D311" s="83" t="s">
        <v>68</v>
      </c>
      <c r="E311" s="83" t="s">
        <v>17</v>
      </c>
    </row>
    <row r="312" spans="1:5" ht="30" x14ac:dyDescent="0.25">
      <c r="A312" s="84">
        <v>45853.417488425926</v>
      </c>
      <c r="B312" s="83">
        <v>48</v>
      </c>
      <c r="C312" s="83" t="s">
        <v>198</v>
      </c>
      <c r="D312" s="83" t="s">
        <v>736</v>
      </c>
      <c r="E312" s="83" t="s">
        <v>75</v>
      </c>
    </row>
    <row r="313" spans="1:5" ht="30" x14ac:dyDescent="0.25">
      <c r="A313" s="84">
        <v>45853.417488425926</v>
      </c>
      <c r="B313" s="83">
        <v>49</v>
      </c>
      <c r="C313" s="83" t="s">
        <v>201</v>
      </c>
      <c r="D313" s="83" t="s">
        <v>61</v>
      </c>
      <c r="E313" s="83" t="s">
        <v>75</v>
      </c>
    </row>
    <row r="314" spans="1:5" ht="30" x14ac:dyDescent="0.25">
      <c r="A314" s="84">
        <v>45853.417488425926</v>
      </c>
      <c r="B314" s="83">
        <v>50</v>
      </c>
      <c r="C314" s="83" t="s">
        <v>205</v>
      </c>
      <c r="D314" s="83" t="s">
        <v>61</v>
      </c>
      <c r="E314" s="83" t="s">
        <v>75</v>
      </c>
    </row>
    <row r="315" spans="1:5" ht="30" x14ac:dyDescent="0.25">
      <c r="A315" s="84">
        <v>45853.417488425926</v>
      </c>
      <c r="B315" s="83">
        <v>51</v>
      </c>
      <c r="C315" s="83" t="s">
        <v>211</v>
      </c>
      <c r="D315" s="83" t="s">
        <v>736</v>
      </c>
      <c r="E315" s="83" t="s">
        <v>17</v>
      </c>
    </row>
    <row r="316" spans="1:5" ht="30" x14ac:dyDescent="0.25">
      <c r="A316" s="84">
        <v>45853.417500000003</v>
      </c>
      <c r="B316" s="83">
        <v>52</v>
      </c>
      <c r="C316" s="83" t="s">
        <v>618</v>
      </c>
      <c r="D316" s="83" t="s">
        <v>736</v>
      </c>
      <c r="E316" s="83" t="s">
        <v>17</v>
      </c>
    </row>
    <row r="317" spans="1:5" ht="30" x14ac:dyDescent="0.25">
      <c r="A317" s="84">
        <v>45853.417500000003</v>
      </c>
      <c r="B317" s="83">
        <v>53</v>
      </c>
      <c r="C317" s="83" t="s">
        <v>122</v>
      </c>
      <c r="D317" s="83" t="s">
        <v>68</v>
      </c>
      <c r="E317" s="83" t="s">
        <v>17</v>
      </c>
    </row>
    <row r="318" spans="1:5" ht="30" x14ac:dyDescent="0.25">
      <c r="A318" s="84">
        <v>45853.417500000003</v>
      </c>
      <c r="B318" s="83">
        <v>54</v>
      </c>
      <c r="C318" s="83" t="s">
        <v>193</v>
      </c>
      <c r="D318" s="83" t="s">
        <v>68</v>
      </c>
      <c r="E318" s="83" t="s">
        <v>17</v>
      </c>
    </row>
    <row r="319" spans="1:5" ht="30" x14ac:dyDescent="0.25">
      <c r="A319" s="84">
        <v>45853.417500000003</v>
      </c>
      <c r="B319" s="83">
        <v>55</v>
      </c>
      <c r="C319" s="83" t="s">
        <v>602</v>
      </c>
      <c r="D319" s="83" t="s">
        <v>68</v>
      </c>
      <c r="E319" s="83" t="s">
        <v>17</v>
      </c>
    </row>
    <row r="320" spans="1:5" ht="30" x14ac:dyDescent="0.25">
      <c r="A320" s="84">
        <v>45853.417511574073</v>
      </c>
      <c r="B320" s="83">
        <v>56</v>
      </c>
      <c r="C320" s="83" t="s">
        <v>215</v>
      </c>
      <c r="D320" s="83" t="s">
        <v>68</v>
      </c>
      <c r="E320" s="83" t="s">
        <v>17</v>
      </c>
    </row>
    <row r="321" spans="1:5" ht="30" x14ac:dyDescent="0.25">
      <c r="A321" s="84">
        <v>45853.417511574073</v>
      </c>
      <c r="B321" s="83">
        <v>57</v>
      </c>
      <c r="C321" s="83" t="s">
        <v>241</v>
      </c>
      <c r="D321" s="83" t="s">
        <v>61</v>
      </c>
      <c r="E321" s="83" t="s">
        <v>17</v>
      </c>
    </row>
    <row r="322" spans="1:5" ht="30" x14ac:dyDescent="0.25">
      <c r="A322" s="84">
        <v>45853.417511574073</v>
      </c>
      <c r="B322" s="83">
        <v>58</v>
      </c>
      <c r="C322" s="83" t="s">
        <v>246</v>
      </c>
      <c r="D322" s="83" t="s">
        <v>61</v>
      </c>
      <c r="E322" s="83" t="s">
        <v>17</v>
      </c>
    </row>
    <row r="323" spans="1:5" ht="30" x14ac:dyDescent="0.25">
      <c r="A323" s="84">
        <v>45853.417523148149</v>
      </c>
      <c r="B323" s="83">
        <v>59</v>
      </c>
      <c r="C323" s="83" t="s">
        <v>220</v>
      </c>
      <c r="D323" s="83" t="s">
        <v>68</v>
      </c>
      <c r="E323" s="83" t="s">
        <v>17</v>
      </c>
    </row>
    <row r="324" spans="1:5" ht="30" x14ac:dyDescent="0.25">
      <c r="A324" s="84">
        <v>45853.417523148149</v>
      </c>
      <c r="B324" s="83">
        <v>60</v>
      </c>
      <c r="C324" s="83" t="s">
        <v>225</v>
      </c>
      <c r="D324" s="83" t="s">
        <v>68</v>
      </c>
      <c r="E324" s="83" t="s">
        <v>17</v>
      </c>
    </row>
    <row r="325" spans="1:5" ht="30" x14ac:dyDescent="0.25">
      <c r="A325" s="84">
        <v>45853.417523148149</v>
      </c>
      <c r="B325" s="83">
        <v>61</v>
      </c>
      <c r="C325" s="83" t="s">
        <v>264</v>
      </c>
      <c r="D325" s="83" t="s">
        <v>736</v>
      </c>
      <c r="E325" s="83" t="s">
        <v>17</v>
      </c>
    </row>
    <row r="326" spans="1:5" ht="30" x14ac:dyDescent="0.25">
      <c r="A326" s="84">
        <v>45853.417523148149</v>
      </c>
      <c r="B326" s="83">
        <v>62</v>
      </c>
      <c r="C326" s="83" t="s">
        <v>267</v>
      </c>
      <c r="D326" s="83" t="s">
        <v>736</v>
      </c>
      <c r="E326" s="83" t="s">
        <v>17</v>
      </c>
    </row>
    <row r="327" spans="1:5" ht="30" x14ac:dyDescent="0.25">
      <c r="A327" s="84">
        <v>45853.417523148149</v>
      </c>
      <c r="B327" s="83">
        <v>63</v>
      </c>
      <c r="C327" s="83" t="s">
        <v>270</v>
      </c>
      <c r="D327" s="83" t="s">
        <v>61</v>
      </c>
      <c r="E327" s="83" t="s">
        <v>17</v>
      </c>
    </row>
    <row r="328" spans="1:5" ht="30" x14ac:dyDescent="0.25">
      <c r="A328" s="84">
        <v>45853.420081018521</v>
      </c>
      <c r="B328" s="83">
        <v>15</v>
      </c>
      <c r="C328" s="83" t="s">
        <v>65</v>
      </c>
      <c r="D328" s="83" t="s">
        <v>68</v>
      </c>
      <c r="E328" s="83" t="s">
        <v>17</v>
      </c>
    </row>
    <row r="329" spans="1:5" ht="30" x14ac:dyDescent="0.25">
      <c r="A329" s="84">
        <v>45853.420081018521</v>
      </c>
      <c r="B329" s="83">
        <v>20</v>
      </c>
      <c r="C329" s="83" t="s">
        <v>739</v>
      </c>
      <c r="D329" s="83" t="s">
        <v>68</v>
      </c>
      <c r="E329" s="83" t="s">
        <v>17</v>
      </c>
    </row>
    <row r="330" spans="1:5" ht="30" x14ac:dyDescent="0.25">
      <c r="A330" s="84">
        <v>45853.420092592591</v>
      </c>
      <c r="B330" s="83">
        <v>21</v>
      </c>
      <c r="C330" s="83" t="s">
        <v>87</v>
      </c>
      <c r="D330" s="83" t="s">
        <v>68</v>
      </c>
      <c r="E330" s="83" t="s">
        <v>17</v>
      </c>
    </row>
    <row r="331" spans="1:5" ht="30" x14ac:dyDescent="0.25">
      <c r="A331" s="84">
        <v>45853.420092592591</v>
      </c>
      <c r="B331" s="83">
        <v>24</v>
      </c>
      <c r="C331" s="83" t="s">
        <v>92</v>
      </c>
      <c r="D331" s="83" t="s">
        <v>68</v>
      </c>
      <c r="E331" s="83" t="s">
        <v>17</v>
      </c>
    </row>
    <row r="332" spans="1:5" ht="30" x14ac:dyDescent="0.25">
      <c r="A332" s="84">
        <v>45853.420104166667</v>
      </c>
      <c r="B332" s="83">
        <v>25</v>
      </c>
      <c r="C332" s="83" t="s">
        <v>103</v>
      </c>
      <c r="D332" s="83" t="s">
        <v>68</v>
      </c>
      <c r="E332" s="83" t="s">
        <v>17</v>
      </c>
    </row>
    <row r="333" spans="1:5" ht="30" x14ac:dyDescent="0.25">
      <c r="A333" s="84">
        <v>45853.420104166667</v>
      </c>
      <c r="B333" s="83">
        <v>27</v>
      </c>
      <c r="C333" s="83" t="s">
        <v>108</v>
      </c>
      <c r="D333" s="83" t="s">
        <v>68</v>
      </c>
      <c r="E333" s="83" t="s">
        <v>17</v>
      </c>
    </row>
    <row r="334" spans="1:5" ht="30" x14ac:dyDescent="0.25">
      <c r="A334" s="84">
        <v>45853.420104166667</v>
      </c>
      <c r="B334" s="83">
        <v>28</v>
      </c>
      <c r="C334" s="83" t="s">
        <v>117</v>
      </c>
      <c r="D334" s="83" t="s">
        <v>68</v>
      </c>
      <c r="E334" s="83" t="s">
        <v>17</v>
      </c>
    </row>
    <row r="335" spans="1:5" ht="30" x14ac:dyDescent="0.25">
      <c r="A335" s="84">
        <v>45853.420115740744</v>
      </c>
      <c r="B335" s="83">
        <v>43</v>
      </c>
      <c r="C335" s="83" t="s">
        <v>175</v>
      </c>
      <c r="D335" s="83" t="s">
        <v>68</v>
      </c>
      <c r="E335" s="83" t="s">
        <v>75</v>
      </c>
    </row>
    <row r="336" spans="1:5" ht="30" x14ac:dyDescent="0.25">
      <c r="A336" s="84">
        <v>45853.420127314814</v>
      </c>
      <c r="B336" s="83">
        <v>47</v>
      </c>
      <c r="C336" s="83" t="s">
        <v>391</v>
      </c>
      <c r="D336" s="83" t="s">
        <v>68</v>
      </c>
      <c r="E336" s="83" t="s">
        <v>17</v>
      </c>
    </row>
    <row r="337" spans="1:5" ht="30" x14ac:dyDescent="0.25">
      <c r="A337" s="84">
        <v>45853.420127314814</v>
      </c>
      <c r="B337" s="83">
        <v>53</v>
      </c>
      <c r="C337" s="83" t="s">
        <v>122</v>
      </c>
      <c r="D337" s="83" t="s">
        <v>68</v>
      </c>
      <c r="E337" s="83" t="s">
        <v>17</v>
      </c>
    </row>
    <row r="338" spans="1:5" ht="30" x14ac:dyDescent="0.25">
      <c r="A338" s="84">
        <v>45853.420127314814</v>
      </c>
      <c r="B338" s="83">
        <v>54</v>
      </c>
      <c r="C338" s="83" t="s">
        <v>193</v>
      </c>
      <c r="D338" s="83" t="s">
        <v>68</v>
      </c>
      <c r="E338" s="83" t="s">
        <v>17</v>
      </c>
    </row>
    <row r="339" spans="1:5" ht="30" x14ac:dyDescent="0.25">
      <c r="A339" s="84">
        <v>45853.420138888891</v>
      </c>
      <c r="B339" s="83">
        <v>55</v>
      </c>
      <c r="C339" s="83" t="s">
        <v>602</v>
      </c>
      <c r="D339" s="83" t="s">
        <v>68</v>
      </c>
      <c r="E339" s="83" t="s">
        <v>17</v>
      </c>
    </row>
    <row r="340" spans="1:5" ht="30" x14ac:dyDescent="0.25">
      <c r="A340" s="84">
        <v>45853.420138888891</v>
      </c>
      <c r="B340" s="83">
        <v>56</v>
      </c>
      <c r="C340" s="83" t="s">
        <v>215</v>
      </c>
      <c r="D340" s="83" t="s">
        <v>68</v>
      </c>
      <c r="E340" s="83" t="s">
        <v>17</v>
      </c>
    </row>
    <row r="341" spans="1:5" ht="30" x14ac:dyDescent="0.25">
      <c r="A341" s="84">
        <v>45853.42015046296</v>
      </c>
      <c r="B341" s="83">
        <v>59</v>
      </c>
      <c r="C341" s="83" t="s">
        <v>220</v>
      </c>
      <c r="D341" s="83" t="s">
        <v>68</v>
      </c>
      <c r="E341" s="83" t="s">
        <v>17</v>
      </c>
    </row>
    <row r="342" spans="1:5" ht="30" x14ac:dyDescent="0.25">
      <c r="A342" s="84">
        <v>45853.420162037037</v>
      </c>
      <c r="B342" s="83">
        <v>60</v>
      </c>
      <c r="C342" s="83" t="s">
        <v>225</v>
      </c>
      <c r="D342" s="83" t="s">
        <v>68</v>
      </c>
      <c r="E342" s="83" t="s">
        <v>17</v>
      </c>
    </row>
    <row r="343" spans="1:5" ht="30" x14ac:dyDescent="0.25">
      <c r="A343" s="84">
        <v>45853.420162037037</v>
      </c>
      <c r="B343" s="83">
        <v>66</v>
      </c>
      <c r="C343" s="83" t="s">
        <v>230</v>
      </c>
      <c r="D343" s="83" t="s">
        <v>68</v>
      </c>
      <c r="E343" s="83" t="s">
        <v>17</v>
      </c>
    </row>
    <row r="344" spans="1:5" ht="30" x14ac:dyDescent="0.25">
      <c r="A344" s="84">
        <v>45853.420162037037</v>
      </c>
      <c r="B344" s="83">
        <v>69</v>
      </c>
      <c r="C344" s="83" t="s">
        <v>236</v>
      </c>
      <c r="D344" s="83" t="s">
        <v>68</v>
      </c>
      <c r="E344" s="83" t="s">
        <v>75</v>
      </c>
    </row>
    <row r="345" spans="1:5" ht="30" x14ac:dyDescent="0.25">
      <c r="A345" s="84">
        <v>45853.420162037037</v>
      </c>
      <c r="B345" s="83">
        <v>75</v>
      </c>
      <c r="C345" s="83" t="s">
        <v>372</v>
      </c>
      <c r="D345" s="83" t="s">
        <v>68</v>
      </c>
      <c r="E345" s="83" t="s">
        <v>17</v>
      </c>
    </row>
    <row r="346" spans="1:5" ht="30" x14ac:dyDescent="0.25">
      <c r="A346" s="84">
        <v>45853.420173611114</v>
      </c>
      <c r="B346" s="83">
        <v>76</v>
      </c>
      <c r="C346" s="83" t="s">
        <v>280</v>
      </c>
      <c r="D346" s="83" t="s">
        <v>68</v>
      </c>
      <c r="E346" s="83" t="s">
        <v>17</v>
      </c>
    </row>
    <row r="347" spans="1:5" ht="30" x14ac:dyDescent="0.25">
      <c r="A347" s="84">
        <v>45853.420173611114</v>
      </c>
      <c r="B347" s="83">
        <v>77</v>
      </c>
      <c r="C347" s="83" t="s">
        <v>295</v>
      </c>
      <c r="D347" s="83" t="s">
        <v>68</v>
      </c>
      <c r="E347" s="83" t="s">
        <v>17</v>
      </c>
    </row>
    <row r="348" spans="1:5" ht="30" x14ac:dyDescent="0.25">
      <c r="A348" s="84">
        <v>45853.420185185183</v>
      </c>
      <c r="B348" s="83">
        <v>79</v>
      </c>
      <c r="C348" s="83" t="s">
        <v>250</v>
      </c>
      <c r="D348" s="83" t="s">
        <v>68</v>
      </c>
      <c r="E348" s="83" t="s">
        <v>17</v>
      </c>
    </row>
    <row r="349" spans="1:5" ht="30" x14ac:dyDescent="0.25">
      <c r="A349" s="84">
        <v>45853.420185185183</v>
      </c>
      <c r="B349" s="83">
        <v>84</v>
      </c>
      <c r="C349" s="83" t="s">
        <v>255</v>
      </c>
      <c r="D349" s="83" t="s">
        <v>68</v>
      </c>
      <c r="E349" s="83" t="s">
        <v>17</v>
      </c>
    </row>
    <row r="350" spans="1:5" ht="30" x14ac:dyDescent="0.25">
      <c r="A350" s="84">
        <v>45853.42019675926</v>
      </c>
      <c r="B350" s="83">
        <v>88</v>
      </c>
      <c r="C350" s="83" t="s">
        <v>314</v>
      </c>
      <c r="D350" s="83" t="s">
        <v>68</v>
      </c>
      <c r="E350" s="83" t="s">
        <v>17</v>
      </c>
    </row>
    <row r="351" spans="1:5" ht="30" x14ac:dyDescent="0.25">
      <c r="A351" s="84">
        <v>45853.42019675926</v>
      </c>
      <c r="B351" s="83">
        <v>91</v>
      </c>
      <c r="C351" s="83" t="s">
        <v>318</v>
      </c>
      <c r="D351" s="83" t="s">
        <v>68</v>
      </c>
      <c r="E351" s="83" t="s">
        <v>17</v>
      </c>
    </row>
    <row r="352" spans="1:5" ht="30" x14ac:dyDescent="0.25">
      <c r="A352" s="84">
        <v>45853.420208333337</v>
      </c>
      <c r="B352" s="83">
        <v>93</v>
      </c>
      <c r="C352" s="83" t="s">
        <v>323</v>
      </c>
      <c r="D352" s="83" t="s">
        <v>68</v>
      </c>
      <c r="E352" s="83" t="s">
        <v>17</v>
      </c>
    </row>
    <row r="353" spans="1:5" ht="30" x14ac:dyDescent="0.25">
      <c r="A353" s="84">
        <v>45853.420208333337</v>
      </c>
      <c r="B353" s="83">
        <v>94</v>
      </c>
      <c r="C353" s="83" t="s">
        <v>332</v>
      </c>
      <c r="D353" s="83" t="s">
        <v>68</v>
      </c>
      <c r="E353" s="83" t="s">
        <v>17</v>
      </c>
    </row>
    <row r="354" spans="1:5" ht="30" x14ac:dyDescent="0.25">
      <c r="A354" s="84">
        <v>45853.420219907406</v>
      </c>
      <c r="B354" s="83">
        <v>95</v>
      </c>
      <c r="C354" s="83" t="s">
        <v>357</v>
      </c>
      <c r="D354" s="83" t="s">
        <v>68</v>
      </c>
      <c r="E354" s="83" t="s">
        <v>17</v>
      </c>
    </row>
    <row r="355" spans="1:5" ht="30" x14ac:dyDescent="0.25">
      <c r="A355" s="84">
        <v>45853.420219907406</v>
      </c>
      <c r="B355" s="83">
        <v>96</v>
      </c>
      <c r="C355" s="83" t="s">
        <v>382</v>
      </c>
      <c r="D355" s="83" t="s">
        <v>68</v>
      </c>
      <c r="E355" s="83" t="s">
        <v>17</v>
      </c>
    </row>
    <row r="356" spans="1:5" ht="30" x14ac:dyDescent="0.25">
      <c r="A356" s="84">
        <v>45853.420219907406</v>
      </c>
      <c r="B356" s="83">
        <v>97</v>
      </c>
      <c r="C356" s="83" t="s">
        <v>395</v>
      </c>
      <c r="D356" s="83" t="s">
        <v>68</v>
      </c>
      <c r="E356" s="83" t="s">
        <v>17</v>
      </c>
    </row>
    <row r="357" spans="1:5" ht="30" x14ac:dyDescent="0.25">
      <c r="A357" s="84">
        <v>45853.422349537039</v>
      </c>
      <c r="B357" s="83">
        <v>15</v>
      </c>
      <c r="C357" s="83" t="s">
        <v>65</v>
      </c>
      <c r="D357" s="83" t="s">
        <v>23</v>
      </c>
      <c r="E357" s="83" t="s">
        <v>67</v>
      </c>
    </row>
    <row r="358" spans="1:5" ht="30" x14ac:dyDescent="0.25">
      <c r="A358" s="84">
        <v>45853.422349537039</v>
      </c>
      <c r="B358" s="83">
        <v>20</v>
      </c>
      <c r="C358" s="83" t="s">
        <v>739</v>
      </c>
      <c r="D358" s="83" t="s">
        <v>23</v>
      </c>
      <c r="E358" s="83" t="s">
        <v>746</v>
      </c>
    </row>
    <row r="359" spans="1:5" ht="30" x14ac:dyDescent="0.25">
      <c r="A359" s="84">
        <v>45853.422361111108</v>
      </c>
      <c r="B359" s="83">
        <v>21</v>
      </c>
      <c r="C359" s="83" t="s">
        <v>87</v>
      </c>
      <c r="D359" s="83" t="s">
        <v>25</v>
      </c>
      <c r="E359" s="83" t="s">
        <v>89</v>
      </c>
    </row>
    <row r="360" spans="1:5" ht="30" x14ac:dyDescent="0.25">
      <c r="A360" s="84">
        <v>45853.422372685185</v>
      </c>
      <c r="B360" s="83">
        <v>24</v>
      </c>
      <c r="C360" s="83" t="s">
        <v>92</v>
      </c>
      <c r="D360" s="83" t="s">
        <v>25</v>
      </c>
      <c r="E360" s="83" t="s">
        <v>850</v>
      </c>
    </row>
    <row r="361" spans="1:5" ht="90" x14ac:dyDescent="0.25">
      <c r="A361" s="84">
        <v>45853.422384259262</v>
      </c>
      <c r="B361" s="83">
        <v>25</v>
      </c>
      <c r="C361" s="83" t="s">
        <v>103</v>
      </c>
      <c r="D361" s="83" t="s">
        <v>25</v>
      </c>
      <c r="E361" s="83" t="s">
        <v>851</v>
      </c>
    </row>
    <row r="362" spans="1:5" ht="30" x14ac:dyDescent="0.25">
      <c r="A362" s="84">
        <v>45853.422395833331</v>
      </c>
      <c r="B362" s="83">
        <v>27</v>
      </c>
      <c r="C362" s="83" t="s">
        <v>108</v>
      </c>
      <c r="D362" s="83" t="s">
        <v>25</v>
      </c>
      <c r="E362" s="83" t="s">
        <v>854</v>
      </c>
    </row>
    <row r="363" spans="1:5" ht="30" x14ac:dyDescent="0.25">
      <c r="A363" s="84">
        <v>45853.422395833331</v>
      </c>
      <c r="B363" s="83">
        <v>28</v>
      </c>
      <c r="C363" s="83" t="s">
        <v>117</v>
      </c>
      <c r="D363" s="83" t="s">
        <v>25</v>
      </c>
      <c r="E363" s="83" t="s">
        <v>858</v>
      </c>
    </row>
    <row r="364" spans="1:5" ht="30" x14ac:dyDescent="0.25">
      <c r="A364" s="84">
        <v>45853.422407407408</v>
      </c>
      <c r="B364" s="83">
        <v>43</v>
      </c>
      <c r="C364" s="83" t="s">
        <v>175</v>
      </c>
      <c r="D364" s="83" t="s">
        <v>25</v>
      </c>
      <c r="E364" s="83" t="s">
        <v>757</v>
      </c>
    </row>
    <row r="365" spans="1:5" ht="30" x14ac:dyDescent="0.25">
      <c r="A365" s="84">
        <v>45853.422418981485</v>
      </c>
      <c r="B365" s="83">
        <v>47</v>
      </c>
      <c r="C365" s="83" t="s">
        <v>391</v>
      </c>
      <c r="D365" s="83" t="s">
        <v>25</v>
      </c>
      <c r="E365" s="83" t="s">
        <v>623</v>
      </c>
    </row>
    <row r="366" spans="1:5" ht="30" x14ac:dyDescent="0.25">
      <c r="A366" s="84">
        <v>45853.422418981485</v>
      </c>
      <c r="B366" s="83">
        <v>53</v>
      </c>
      <c r="C366" s="83" t="s">
        <v>122</v>
      </c>
      <c r="D366" s="83" t="s">
        <v>26</v>
      </c>
      <c r="E366" s="83" t="s">
        <v>89</v>
      </c>
    </row>
    <row r="367" spans="1:5" ht="30" x14ac:dyDescent="0.25">
      <c r="A367" s="84">
        <v>45853.422430555554</v>
      </c>
      <c r="B367" s="83">
        <v>54</v>
      </c>
      <c r="C367" s="83" t="s">
        <v>193</v>
      </c>
      <c r="D367" s="83" t="s">
        <v>26</v>
      </c>
      <c r="E367" s="83" t="s">
        <v>756</v>
      </c>
    </row>
    <row r="368" spans="1:5" ht="30" x14ac:dyDescent="0.25">
      <c r="A368" s="84">
        <v>45853.422430555554</v>
      </c>
      <c r="B368" s="83">
        <v>55</v>
      </c>
      <c r="C368" s="83" t="s">
        <v>602</v>
      </c>
      <c r="D368" s="83" t="s">
        <v>26</v>
      </c>
      <c r="E368" s="83" t="s">
        <v>625</v>
      </c>
    </row>
    <row r="369" spans="1:5" ht="30" x14ac:dyDescent="0.25">
      <c r="A369" s="84">
        <v>45853.422442129631</v>
      </c>
      <c r="B369" s="83">
        <v>56</v>
      </c>
      <c r="C369" s="83" t="s">
        <v>215</v>
      </c>
      <c r="D369" s="83" t="s">
        <v>27</v>
      </c>
      <c r="E369" s="83" t="s">
        <v>755</v>
      </c>
    </row>
    <row r="370" spans="1:5" ht="30" x14ac:dyDescent="0.25">
      <c r="A370" s="84">
        <v>45853.422453703701</v>
      </c>
      <c r="B370" s="83">
        <v>59</v>
      </c>
      <c r="C370" s="83" t="s">
        <v>220</v>
      </c>
      <c r="D370" s="83" t="s">
        <v>27</v>
      </c>
      <c r="E370" s="83" t="s">
        <v>222</v>
      </c>
    </row>
    <row r="371" spans="1:5" ht="30" x14ac:dyDescent="0.25">
      <c r="A371" s="84">
        <v>45853.422453703701</v>
      </c>
      <c r="B371" s="83">
        <v>60</v>
      </c>
      <c r="C371" s="83" t="s">
        <v>225</v>
      </c>
      <c r="D371" s="83" t="s">
        <v>27</v>
      </c>
      <c r="E371" s="83" t="s">
        <v>758</v>
      </c>
    </row>
    <row r="372" spans="1:5" ht="30" x14ac:dyDescent="0.25">
      <c r="A372" s="84">
        <v>45853.422465277778</v>
      </c>
      <c r="B372" s="83">
        <v>66</v>
      </c>
      <c r="C372" s="83" t="s">
        <v>230</v>
      </c>
      <c r="D372" s="83" t="s">
        <v>27</v>
      </c>
      <c r="E372" s="83" t="s">
        <v>747</v>
      </c>
    </row>
    <row r="373" spans="1:5" ht="30" x14ac:dyDescent="0.25">
      <c r="A373" s="84">
        <v>45853.422476851854</v>
      </c>
      <c r="B373" s="83">
        <v>69</v>
      </c>
      <c r="C373" s="83" t="s">
        <v>236</v>
      </c>
      <c r="D373" s="83" t="s">
        <v>27</v>
      </c>
      <c r="E373" s="83" t="s">
        <v>238</v>
      </c>
    </row>
    <row r="374" spans="1:5" ht="30" x14ac:dyDescent="0.25">
      <c r="A374" s="84">
        <v>45853.422476851854</v>
      </c>
      <c r="B374" s="83">
        <v>75</v>
      </c>
      <c r="C374" s="83" t="s">
        <v>372</v>
      </c>
      <c r="D374" s="83" t="s">
        <v>27</v>
      </c>
      <c r="E374" s="83" t="s">
        <v>598</v>
      </c>
    </row>
    <row r="375" spans="1:5" ht="30" x14ac:dyDescent="0.25">
      <c r="A375" s="84">
        <v>45853.422488425924</v>
      </c>
      <c r="B375" s="83">
        <v>76</v>
      </c>
      <c r="C375" s="83" t="s">
        <v>280</v>
      </c>
      <c r="D375" s="83" t="s">
        <v>29</v>
      </c>
      <c r="E375" s="83" t="s">
        <v>622</v>
      </c>
    </row>
    <row r="376" spans="1:5" ht="60" x14ac:dyDescent="0.25">
      <c r="A376" s="84">
        <v>45853.422488425924</v>
      </c>
      <c r="B376" s="83">
        <v>77</v>
      </c>
      <c r="C376" s="83" t="s">
        <v>295</v>
      </c>
      <c r="D376" s="83" t="s">
        <v>29</v>
      </c>
      <c r="E376" s="83" t="s">
        <v>753</v>
      </c>
    </row>
    <row r="377" spans="1:5" ht="75" x14ac:dyDescent="0.25">
      <c r="A377" s="84">
        <v>45853.422488425924</v>
      </c>
      <c r="B377" s="83">
        <v>79</v>
      </c>
      <c r="C377" s="83" t="s">
        <v>250</v>
      </c>
      <c r="D377" s="83" t="s">
        <v>30</v>
      </c>
      <c r="E377" s="83" t="s">
        <v>754</v>
      </c>
    </row>
    <row r="378" spans="1:5" ht="45" x14ac:dyDescent="0.25">
      <c r="A378" s="84">
        <v>45853.422500000001</v>
      </c>
      <c r="B378" s="83">
        <v>84</v>
      </c>
      <c r="C378" s="83" t="s">
        <v>255</v>
      </c>
      <c r="D378" s="83" t="s">
        <v>30</v>
      </c>
      <c r="E378" s="83" t="s">
        <v>752</v>
      </c>
    </row>
    <row r="379" spans="1:5" ht="30" x14ac:dyDescent="0.25">
      <c r="A379" s="84">
        <v>45853.422500000001</v>
      </c>
      <c r="B379" s="83">
        <v>88</v>
      </c>
      <c r="C379" s="83" t="s">
        <v>314</v>
      </c>
      <c r="D379" s="83" t="s">
        <v>30</v>
      </c>
      <c r="E379" s="83" t="s">
        <v>859</v>
      </c>
    </row>
    <row r="380" spans="1:5" ht="30" x14ac:dyDescent="0.25">
      <c r="A380" s="84">
        <v>45853.422511574077</v>
      </c>
      <c r="B380" s="83">
        <v>91</v>
      </c>
      <c r="C380" s="83" t="s">
        <v>318</v>
      </c>
      <c r="D380" s="83" t="s">
        <v>30</v>
      </c>
      <c r="E380" s="83" t="s">
        <v>738</v>
      </c>
    </row>
    <row r="381" spans="1:5" ht="30" x14ac:dyDescent="0.25">
      <c r="A381" s="84">
        <v>45853.422523148147</v>
      </c>
      <c r="B381" s="83">
        <v>93</v>
      </c>
      <c r="C381" s="83" t="s">
        <v>323</v>
      </c>
      <c r="D381" s="83" t="s">
        <v>30</v>
      </c>
      <c r="E381" s="83" t="s">
        <v>749</v>
      </c>
    </row>
    <row r="382" spans="1:5" ht="45" x14ac:dyDescent="0.25">
      <c r="A382" s="84">
        <v>45853.422523148147</v>
      </c>
      <c r="B382" s="83">
        <v>94</v>
      </c>
      <c r="C382" s="83" t="s">
        <v>332</v>
      </c>
      <c r="D382" s="83" t="s">
        <v>30</v>
      </c>
      <c r="E382" s="83" t="s">
        <v>751</v>
      </c>
    </row>
    <row r="383" spans="1:5" ht="45" x14ac:dyDescent="0.25">
      <c r="A383" s="84">
        <v>45853.422523148147</v>
      </c>
      <c r="B383" s="83">
        <v>95</v>
      </c>
      <c r="C383" s="83" t="s">
        <v>357</v>
      </c>
      <c r="D383" s="83" t="s">
        <v>30</v>
      </c>
      <c r="E383" s="83" t="s">
        <v>597</v>
      </c>
    </row>
    <row r="384" spans="1:5" ht="30" x14ac:dyDescent="0.25">
      <c r="A384" s="84">
        <v>45853.422534722224</v>
      </c>
      <c r="B384" s="83">
        <v>96</v>
      </c>
      <c r="C384" s="83" t="s">
        <v>382</v>
      </c>
      <c r="D384" s="83" t="s">
        <v>30</v>
      </c>
      <c r="E384" s="83" t="s">
        <v>860</v>
      </c>
    </row>
    <row r="385" spans="1:5" ht="30" x14ac:dyDescent="0.25">
      <c r="A385" s="84">
        <v>45853.422534722224</v>
      </c>
      <c r="B385" s="83">
        <v>97</v>
      </c>
      <c r="C385" s="83" t="s">
        <v>395</v>
      </c>
      <c r="D385" s="83" t="s">
        <v>30</v>
      </c>
      <c r="E385" s="83" t="s">
        <v>748</v>
      </c>
    </row>
    <row r="386" spans="1:5" ht="30" x14ac:dyDescent="0.25">
      <c r="A386" s="84">
        <v>45853.423101851855</v>
      </c>
      <c r="B386" s="83">
        <v>18</v>
      </c>
      <c r="C386" s="83" t="s">
        <v>82</v>
      </c>
      <c r="D386" s="83" t="s">
        <v>55</v>
      </c>
      <c r="E386" s="83" t="s">
        <v>84</v>
      </c>
    </row>
    <row r="387" spans="1:5" ht="30" x14ac:dyDescent="0.25">
      <c r="A387" s="84">
        <v>45853.423113425924</v>
      </c>
      <c r="B387" s="83">
        <v>19</v>
      </c>
      <c r="C387" s="83" t="s">
        <v>85</v>
      </c>
      <c r="D387" s="83" t="s">
        <v>55</v>
      </c>
      <c r="E387" s="83" t="s">
        <v>84</v>
      </c>
    </row>
    <row r="388" spans="1:5" ht="30" x14ac:dyDescent="0.25">
      <c r="A388" s="84">
        <v>45853.423136574071</v>
      </c>
      <c r="B388" s="83">
        <v>22</v>
      </c>
      <c r="C388" s="83" t="s">
        <v>99</v>
      </c>
      <c r="D388" s="83" t="s">
        <v>55</v>
      </c>
      <c r="E388" s="83" t="s">
        <v>84</v>
      </c>
    </row>
    <row r="389" spans="1:5" ht="30" x14ac:dyDescent="0.25">
      <c r="A389" s="84">
        <v>45853.423148148147</v>
      </c>
      <c r="B389" s="83">
        <v>23</v>
      </c>
      <c r="C389" s="83" t="s">
        <v>101</v>
      </c>
      <c r="D389" s="83" t="s">
        <v>55</v>
      </c>
      <c r="E389" s="83" t="s">
        <v>84</v>
      </c>
    </row>
    <row r="390" spans="1:5" ht="30" x14ac:dyDescent="0.25">
      <c r="A390" s="84">
        <v>45853.423159722224</v>
      </c>
      <c r="B390" s="83">
        <v>26</v>
      </c>
      <c r="C390" s="83" t="s">
        <v>110</v>
      </c>
      <c r="D390" s="83" t="s">
        <v>55</v>
      </c>
      <c r="E390" s="83" t="s">
        <v>113</v>
      </c>
    </row>
    <row r="391" spans="1:5" ht="60" x14ac:dyDescent="0.25">
      <c r="A391" s="84">
        <v>45853.423171296294</v>
      </c>
      <c r="B391" s="83">
        <v>30</v>
      </c>
      <c r="C391" s="83" t="s">
        <v>132</v>
      </c>
      <c r="D391" s="83" t="s">
        <v>55</v>
      </c>
      <c r="E391" s="83" t="s">
        <v>135</v>
      </c>
    </row>
    <row r="392" spans="1:5" ht="30" x14ac:dyDescent="0.25">
      <c r="A392" s="84">
        <v>45853.423182870371</v>
      </c>
      <c r="B392" s="83">
        <v>31</v>
      </c>
      <c r="C392" s="83" t="s">
        <v>137</v>
      </c>
      <c r="D392" s="83" t="s">
        <v>55</v>
      </c>
      <c r="E392" s="83" t="s">
        <v>84</v>
      </c>
    </row>
    <row r="393" spans="1:5" ht="30" x14ac:dyDescent="0.25">
      <c r="A393" s="84">
        <v>45853.423194444447</v>
      </c>
      <c r="B393" s="83">
        <v>32</v>
      </c>
      <c r="C393" s="83" t="s">
        <v>139</v>
      </c>
      <c r="D393" s="83" t="s">
        <v>55</v>
      </c>
      <c r="E393" s="83" t="s">
        <v>84</v>
      </c>
    </row>
    <row r="394" spans="1:5" ht="30" x14ac:dyDescent="0.25">
      <c r="A394" s="84">
        <v>45853.423206018517</v>
      </c>
      <c r="B394" s="83">
        <v>38</v>
      </c>
      <c r="C394" s="83" t="s">
        <v>158</v>
      </c>
      <c r="D394" s="83" t="s">
        <v>55</v>
      </c>
      <c r="E394" s="83" t="s">
        <v>84</v>
      </c>
    </row>
    <row r="395" spans="1:5" ht="30" x14ac:dyDescent="0.25">
      <c r="A395" s="84">
        <v>45853.423229166663</v>
      </c>
      <c r="B395" s="83">
        <v>39</v>
      </c>
      <c r="C395" s="83" t="s">
        <v>160</v>
      </c>
      <c r="D395" s="83" t="s">
        <v>55</v>
      </c>
      <c r="E395" s="83" t="s">
        <v>84</v>
      </c>
    </row>
    <row r="396" spans="1:5" ht="30" x14ac:dyDescent="0.25">
      <c r="A396" s="84">
        <v>45853.423229166663</v>
      </c>
      <c r="B396" s="83">
        <v>40</v>
      </c>
      <c r="C396" s="83" t="s">
        <v>163</v>
      </c>
      <c r="D396" s="83" t="s">
        <v>55</v>
      </c>
      <c r="E396" s="83" t="s">
        <v>84</v>
      </c>
    </row>
    <row r="397" spans="1:5" ht="30" x14ac:dyDescent="0.25">
      <c r="A397" s="84">
        <v>45853.42324074074</v>
      </c>
      <c r="B397" s="83">
        <v>41</v>
      </c>
      <c r="C397" s="83" t="s">
        <v>166</v>
      </c>
      <c r="D397" s="83" t="s">
        <v>55</v>
      </c>
      <c r="E397" s="83" t="s">
        <v>168</v>
      </c>
    </row>
    <row r="398" spans="1:5" ht="120" x14ac:dyDescent="0.25">
      <c r="A398" s="84">
        <v>45853.423252314817</v>
      </c>
      <c r="B398" s="83">
        <v>42</v>
      </c>
      <c r="C398" s="83" t="s">
        <v>169</v>
      </c>
      <c r="D398" s="83" t="s">
        <v>55</v>
      </c>
      <c r="E398" s="83" t="s">
        <v>171</v>
      </c>
    </row>
    <row r="399" spans="1:5" ht="30" x14ac:dyDescent="0.25">
      <c r="A399" s="84">
        <v>45853.423263888886</v>
      </c>
      <c r="B399" s="83">
        <v>46</v>
      </c>
      <c r="C399" s="83" t="s">
        <v>190</v>
      </c>
      <c r="D399" s="83" t="s">
        <v>55</v>
      </c>
      <c r="E399" s="83" t="s">
        <v>84</v>
      </c>
    </row>
    <row r="400" spans="1:5" ht="30" x14ac:dyDescent="0.25">
      <c r="A400" s="84">
        <v>45853.423263888886</v>
      </c>
      <c r="B400" s="83">
        <v>49</v>
      </c>
      <c r="C400" s="83" t="s">
        <v>201</v>
      </c>
      <c r="D400" s="83" t="s">
        <v>55</v>
      </c>
      <c r="E400" s="83" t="s">
        <v>203</v>
      </c>
    </row>
    <row r="401" spans="1:5" ht="45" x14ac:dyDescent="0.25">
      <c r="A401" s="84">
        <v>45853.423275462963</v>
      </c>
      <c r="B401" s="83">
        <v>50</v>
      </c>
      <c r="C401" s="83" t="s">
        <v>205</v>
      </c>
      <c r="D401" s="83" t="s">
        <v>55</v>
      </c>
      <c r="E401" s="83" t="s">
        <v>208</v>
      </c>
    </row>
    <row r="402" spans="1:5" ht="30" x14ac:dyDescent="0.25">
      <c r="A402" s="84">
        <v>45853.423275462963</v>
      </c>
      <c r="B402" s="83">
        <v>57</v>
      </c>
      <c r="C402" s="83" t="s">
        <v>241</v>
      </c>
      <c r="D402" s="83" t="s">
        <v>55</v>
      </c>
      <c r="E402" s="83" t="s">
        <v>243</v>
      </c>
    </row>
    <row r="403" spans="1:5" ht="45" x14ac:dyDescent="0.25">
      <c r="A403" s="84">
        <v>45853.42328703704</v>
      </c>
      <c r="B403" s="83">
        <v>58</v>
      </c>
      <c r="C403" s="83" t="s">
        <v>246</v>
      </c>
      <c r="D403" s="83" t="s">
        <v>55</v>
      </c>
      <c r="E403" s="83" t="s">
        <v>248</v>
      </c>
    </row>
    <row r="404" spans="1:5" ht="135" x14ac:dyDescent="0.25">
      <c r="A404" s="84">
        <v>45853.423298611109</v>
      </c>
      <c r="B404" s="83">
        <v>63</v>
      </c>
      <c r="C404" s="83" t="s">
        <v>270</v>
      </c>
      <c r="D404" s="83" t="s">
        <v>55</v>
      </c>
      <c r="E404" s="83" t="s">
        <v>272</v>
      </c>
    </row>
    <row r="405" spans="1:5" ht="30" x14ac:dyDescent="0.25">
      <c r="A405" s="84">
        <v>45853.423298611109</v>
      </c>
      <c r="B405" s="83">
        <v>70</v>
      </c>
      <c r="C405" s="83" t="s">
        <v>299</v>
      </c>
      <c r="D405" s="83" t="s">
        <v>55</v>
      </c>
      <c r="E405" s="83" t="s">
        <v>301</v>
      </c>
    </row>
    <row r="406" spans="1:5" ht="30" x14ac:dyDescent="0.25">
      <c r="A406" s="84">
        <v>45853.423310185186</v>
      </c>
      <c r="B406" s="83">
        <v>71</v>
      </c>
      <c r="C406" s="83" t="s">
        <v>302</v>
      </c>
      <c r="D406" s="83" t="s">
        <v>55</v>
      </c>
      <c r="E406" s="83" t="s">
        <v>304</v>
      </c>
    </row>
    <row r="407" spans="1:5" ht="30" x14ac:dyDescent="0.25">
      <c r="A407" s="84">
        <v>45853.423310185186</v>
      </c>
      <c r="B407" s="83">
        <v>72</v>
      </c>
      <c r="C407" s="83" t="s">
        <v>305</v>
      </c>
      <c r="D407" s="83" t="s">
        <v>55</v>
      </c>
      <c r="E407" s="83" t="s">
        <v>307</v>
      </c>
    </row>
    <row r="408" spans="1:5" ht="45" x14ac:dyDescent="0.25">
      <c r="A408" s="84">
        <v>45853.423310185186</v>
      </c>
      <c r="B408" s="83">
        <v>73</v>
      </c>
      <c r="C408" s="83" t="s">
        <v>308</v>
      </c>
      <c r="D408" s="83" t="s">
        <v>55</v>
      </c>
      <c r="E408" s="83" t="s">
        <v>310</v>
      </c>
    </row>
    <row r="409" spans="1:5" ht="30" x14ac:dyDescent="0.25">
      <c r="A409" s="84">
        <v>45853.423321759263</v>
      </c>
      <c r="B409" s="83">
        <v>74</v>
      </c>
      <c r="C409" s="83" t="s">
        <v>311</v>
      </c>
      <c r="D409" s="83" t="s">
        <v>55</v>
      </c>
      <c r="E409" s="83" t="s">
        <v>313</v>
      </c>
    </row>
    <row r="410" spans="1:5" ht="30" x14ac:dyDescent="0.25">
      <c r="A410" s="84">
        <v>45853.423321759263</v>
      </c>
      <c r="B410" s="83">
        <v>78</v>
      </c>
      <c r="C410" s="83" t="s">
        <v>328</v>
      </c>
      <c r="D410" s="83" t="s">
        <v>55</v>
      </c>
      <c r="E410" s="83" t="s">
        <v>330</v>
      </c>
    </row>
    <row r="411" spans="1:5" ht="30" x14ac:dyDescent="0.25">
      <c r="A411" s="84">
        <v>45853.423333333332</v>
      </c>
      <c r="B411" s="83">
        <v>89</v>
      </c>
      <c r="C411" s="83" t="s">
        <v>375</v>
      </c>
      <c r="D411" s="83" t="s">
        <v>55</v>
      </c>
      <c r="E411" s="83" t="s">
        <v>377</v>
      </c>
    </row>
    <row r="412" spans="1:5" ht="30" x14ac:dyDescent="0.25">
      <c r="A412" s="84">
        <v>45853.423333333332</v>
      </c>
      <c r="B412" s="83">
        <v>92</v>
      </c>
      <c r="C412" s="83" t="s">
        <v>387</v>
      </c>
      <c r="D412" s="83" t="s">
        <v>55</v>
      </c>
      <c r="E412" s="83" t="s">
        <v>389</v>
      </c>
    </row>
    <row r="413" spans="1:5" ht="30" x14ac:dyDescent="0.25">
      <c r="A413" s="84">
        <v>45853.423622685186</v>
      </c>
      <c r="B413" s="83">
        <v>14</v>
      </c>
      <c r="C413" s="83" t="s">
        <v>56</v>
      </c>
      <c r="D413" s="83" t="s">
        <v>21</v>
      </c>
      <c r="E413" s="83" t="s">
        <v>60</v>
      </c>
    </row>
    <row r="414" spans="1:5" ht="30" x14ac:dyDescent="0.25">
      <c r="A414" s="84">
        <v>45853.423622685186</v>
      </c>
      <c r="B414" s="83">
        <v>16</v>
      </c>
      <c r="C414" s="83" t="s">
        <v>73</v>
      </c>
      <c r="D414" s="83" t="s">
        <v>21</v>
      </c>
      <c r="E414" s="83" t="s">
        <v>76</v>
      </c>
    </row>
    <row r="415" spans="1:5" ht="30" x14ac:dyDescent="0.25">
      <c r="A415" s="84">
        <v>45853.423634259256</v>
      </c>
      <c r="B415" s="83">
        <v>17</v>
      </c>
      <c r="C415" s="83" t="s">
        <v>78</v>
      </c>
      <c r="D415" s="83" t="s">
        <v>21</v>
      </c>
      <c r="E415" s="83" t="s">
        <v>80</v>
      </c>
    </row>
    <row r="416" spans="1:5" ht="45" x14ac:dyDescent="0.25">
      <c r="A416" s="84">
        <v>45853.423634259256</v>
      </c>
      <c r="B416" s="83">
        <v>29</v>
      </c>
      <c r="C416" s="83" t="s">
        <v>125</v>
      </c>
      <c r="D416" s="83" t="s">
        <v>21</v>
      </c>
      <c r="E416" s="83" t="s">
        <v>127</v>
      </c>
    </row>
    <row r="417" spans="1:5" ht="45" x14ac:dyDescent="0.25">
      <c r="A417" s="84">
        <v>45853.423645833333</v>
      </c>
      <c r="B417" s="83">
        <v>33</v>
      </c>
      <c r="C417" s="83" t="s">
        <v>141</v>
      </c>
      <c r="D417" s="83" t="s">
        <v>21</v>
      </c>
      <c r="E417" s="83" t="s">
        <v>585</v>
      </c>
    </row>
    <row r="418" spans="1:5" ht="30" x14ac:dyDescent="0.25">
      <c r="A418" s="84">
        <v>45853.423657407409</v>
      </c>
      <c r="B418" s="83">
        <v>34</v>
      </c>
      <c r="C418" s="83" t="s">
        <v>144</v>
      </c>
      <c r="D418" s="83" t="s">
        <v>21</v>
      </c>
      <c r="E418" s="83" t="s">
        <v>84</v>
      </c>
    </row>
    <row r="419" spans="1:5" ht="60" x14ac:dyDescent="0.25">
      <c r="A419" s="84">
        <v>45853.423668981479</v>
      </c>
      <c r="B419" s="83">
        <v>35</v>
      </c>
      <c r="C419" s="83" t="s">
        <v>148</v>
      </c>
      <c r="D419" s="83" t="s">
        <v>21</v>
      </c>
      <c r="E419" s="83" t="s">
        <v>150</v>
      </c>
    </row>
    <row r="420" spans="1:5" ht="60" x14ac:dyDescent="0.25">
      <c r="A420" s="84">
        <v>45853.423680555556</v>
      </c>
      <c r="B420" s="83">
        <v>36</v>
      </c>
      <c r="C420" s="83" t="s">
        <v>151</v>
      </c>
      <c r="D420" s="83" t="s">
        <v>21</v>
      </c>
      <c r="E420" s="83" t="s">
        <v>153</v>
      </c>
    </row>
    <row r="421" spans="1:5" ht="45" x14ac:dyDescent="0.25">
      <c r="A421" s="84">
        <v>45853.423703703702</v>
      </c>
      <c r="B421" s="83">
        <v>37</v>
      </c>
      <c r="C421" s="83" t="s">
        <v>154</v>
      </c>
      <c r="D421" s="83" t="s">
        <v>21</v>
      </c>
      <c r="E421" s="83" t="s">
        <v>156</v>
      </c>
    </row>
    <row r="422" spans="1:5" ht="30" x14ac:dyDescent="0.25">
      <c r="A422" s="84">
        <v>45853.423715277779</v>
      </c>
      <c r="B422" s="83">
        <v>44</v>
      </c>
      <c r="C422" s="83" t="s">
        <v>179</v>
      </c>
      <c r="D422" s="83" t="s">
        <v>21</v>
      </c>
      <c r="E422" s="83" t="s">
        <v>181</v>
      </c>
    </row>
    <row r="423" spans="1:5" ht="45" x14ac:dyDescent="0.25">
      <c r="A423" s="84">
        <v>45853.423726851855</v>
      </c>
      <c r="B423" s="83">
        <v>45</v>
      </c>
      <c r="C423" s="83" t="s">
        <v>185</v>
      </c>
      <c r="D423" s="83" t="s">
        <v>21</v>
      </c>
      <c r="E423" s="83" t="s">
        <v>586</v>
      </c>
    </row>
    <row r="424" spans="1:5" ht="30" x14ac:dyDescent="0.25">
      <c r="A424" s="84">
        <v>45853.423738425925</v>
      </c>
      <c r="B424" s="83">
        <v>48</v>
      </c>
      <c r="C424" s="83" t="s">
        <v>198</v>
      </c>
      <c r="D424" s="83" t="s">
        <v>21</v>
      </c>
      <c r="E424" s="83" t="s">
        <v>200</v>
      </c>
    </row>
    <row r="425" spans="1:5" ht="30" x14ac:dyDescent="0.25">
      <c r="A425" s="84">
        <v>45853.423750000002</v>
      </c>
      <c r="B425" s="83">
        <v>51</v>
      </c>
      <c r="C425" s="83" t="s">
        <v>211</v>
      </c>
      <c r="D425" s="83" t="s">
        <v>21</v>
      </c>
      <c r="E425" s="83" t="s">
        <v>213</v>
      </c>
    </row>
    <row r="426" spans="1:5" ht="30" x14ac:dyDescent="0.25">
      <c r="A426" s="84">
        <v>45853.423761574071</v>
      </c>
      <c r="B426" s="83">
        <v>52</v>
      </c>
      <c r="C426" s="83" t="s">
        <v>618</v>
      </c>
      <c r="D426" s="83" t="s">
        <v>21</v>
      </c>
      <c r="E426" s="83" t="s">
        <v>857</v>
      </c>
    </row>
    <row r="427" spans="1:5" ht="60" x14ac:dyDescent="0.25">
      <c r="A427" s="84">
        <v>45853.423773148148</v>
      </c>
      <c r="B427" s="83">
        <v>61</v>
      </c>
      <c r="C427" s="83" t="s">
        <v>264</v>
      </c>
      <c r="D427" s="83" t="s">
        <v>21</v>
      </c>
      <c r="E427" s="83" t="s">
        <v>266</v>
      </c>
    </row>
    <row r="428" spans="1:5" ht="105" x14ac:dyDescent="0.25">
      <c r="A428" s="84">
        <v>45853.423773148148</v>
      </c>
      <c r="B428" s="83">
        <v>62</v>
      </c>
      <c r="C428" s="83" t="s">
        <v>267</v>
      </c>
      <c r="D428" s="83" t="s">
        <v>21</v>
      </c>
      <c r="E428" s="83" t="s">
        <v>269</v>
      </c>
    </row>
    <row r="429" spans="1:5" ht="30" x14ac:dyDescent="0.25">
      <c r="A429" s="84">
        <v>45853.423773148148</v>
      </c>
      <c r="B429" s="83">
        <v>64</v>
      </c>
      <c r="C429" s="83" t="s">
        <v>273</v>
      </c>
      <c r="D429" s="83" t="s">
        <v>21</v>
      </c>
      <c r="E429" s="83" t="s">
        <v>275</v>
      </c>
    </row>
    <row r="430" spans="1:5" ht="60" x14ac:dyDescent="0.25">
      <c r="A430" s="84">
        <v>45853.423784722225</v>
      </c>
      <c r="B430" s="83">
        <v>65</v>
      </c>
      <c r="C430" s="83" t="s">
        <v>277</v>
      </c>
      <c r="D430" s="83" t="s">
        <v>21</v>
      </c>
      <c r="E430" s="83" t="s">
        <v>279</v>
      </c>
    </row>
    <row r="431" spans="1:5" ht="75" x14ac:dyDescent="0.25">
      <c r="A431" s="84">
        <v>45853.423796296294</v>
      </c>
      <c r="B431" s="83">
        <v>67</v>
      </c>
      <c r="C431" s="83" t="s">
        <v>286</v>
      </c>
      <c r="D431" s="83" t="s">
        <v>21</v>
      </c>
      <c r="E431" s="83" t="s">
        <v>288</v>
      </c>
    </row>
    <row r="432" spans="1:5" ht="75" x14ac:dyDescent="0.25">
      <c r="A432" s="84">
        <v>45853.423796296294</v>
      </c>
      <c r="B432" s="83">
        <v>68</v>
      </c>
      <c r="C432" s="83" t="s">
        <v>290</v>
      </c>
      <c r="D432" s="83" t="s">
        <v>21</v>
      </c>
      <c r="E432" s="83" t="s">
        <v>292</v>
      </c>
    </row>
    <row r="433" spans="1:5" ht="45" x14ac:dyDescent="0.25">
      <c r="A433" s="84">
        <v>45853.423796296294</v>
      </c>
      <c r="B433" s="83">
        <v>80</v>
      </c>
      <c r="C433" s="83" t="s">
        <v>338</v>
      </c>
      <c r="D433" s="83" t="s">
        <v>21</v>
      </c>
      <c r="E433" s="83" t="s">
        <v>340</v>
      </c>
    </row>
    <row r="434" spans="1:5" ht="30" x14ac:dyDescent="0.25">
      <c r="A434" s="84">
        <v>45853.423807870371</v>
      </c>
      <c r="B434" s="83">
        <v>81</v>
      </c>
      <c r="C434" s="83" t="s">
        <v>345</v>
      </c>
      <c r="D434" s="83" t="s">
        <v>21</v>
      </c>
      <c r="E434" s="83"/>
    </row>
    <row r="435" spans="1:5" ht="30" x14ac:dyDescent="0.25">
      <c r="A435" s="84">
        <v>45853.423807870371</v>
      </c>
      <c r="B435" s="83">
        <v>82</v>
      </c>
      <c r="C435" s="83" t="s">
        <v>348</v>
      </c>
      <c r="D435" s="83" t="s">
        <v>21</v>
      </c>
      <c r="E435" s="83" t="s">
        <v>349</v>
      </c>
    </row>
    <row r="436" spans="1:5" ht="30" x14ac:dyDescent="0.25">
      <c r="A436" s="84">
        <v>45853.423819444448</v>
      </c>
      <c r="B436" s="83">
        <v>83</v>
      </c>
      <c r="C436" s="83" t="s">
        <v>351</v>
      </c>
      <c r="D436" s="83" t="s">
        <v>21</v>
      </c>
      <c r="E436" s="83" t="s">
        <v>591</v>
      </c>
    </row>
    <row r="437" spans="1:5" ht="45" x14ac:dyDescent="0.25">
      <c r="A437" s="84">
        <v>45853.423819444448</v>
      </c>
      <c r="B437" s="83">
        <v>85</v>
      </c>
      <c r="C437" s="83" t="s">
        <v>360</v>
      </c>
      <c r="D437" s="83" t="s">
        <v>21</v>
      </c>
      <c r="E437" s="83" t="s">
        <v>362</v>
      </c>
    </row>
    <row r="438" spans="1:5" ht="30" x14ac:dyDescent="0.25">
      <c r="A438" s="84">
        <v>45853.423819444448</v>
      </c>
      <c r="B438" s="83">
        <v>86</v>
      </c>
      <c r="C438" s="83" t="s">
        <v>365</v>
      </c>
      <c r="D438" s="83" t="s">
        <v>21</v>
      </c>
      <c r="E438" s="83" t="s">
        <v>366</v>
      </c>
    </row>
    <row r="439" spans="1:5" ht="75" x14ac:dyDescent="0.25">
      <c r="A439" s="84">
        <v>45853.423831018517</v>
      </c>
      <c r="B439" s="83">
        <v>87</v>
      </c>
      <c r="C439" s="83" t="s">
        <v>368</v>
      </c>
      <c r="D439" s="83" t="s">
        <v>21</v>
      </c>
      <c r="E439" s="83" t="s">
        <v>369</v>
      </c>
    </row>
    <row r="440" spans="1:5" ht="30" x14ac:dyDescent="0.25">
      <c r="A440" s="84">
        <v>45853.423831018517</v>
      </c>
      <c r="B440" s="83">
        <v>90</v>
      </c>
      <c r="C440" s="83" t="s">
        <v>380</v>
      </c>
      <c r="D440" s="83" t="s">
        <v>21</v>
      </c>
      <c r="E440" s="83"/>
    </row>
    <row r="441" spans="1:5" ht="30" x14ac:dyDescent="0.25">
      <c r="A441" s="84">
        <v>45853.423842592594</v>
      </c>
      <c r="B441" s="83">
        <v>98</v>
      </c>
      <c r="C441" s="83" t="s">
        <v>760</v>
      </c>
      <c r="D441" s="83" t="s">
        <v>21</v>
      </c>
      <c r="E441" s="83"/>
    </row>
    <row r="442" spans="1:5" ht="30" x14ac:dyDescent="0.25">
      <c r="A442" s="84">
        <v>45853.424375000002</v>
      </c>
      <c r="B442" s="83">
        <v>64</v>
      </c>
      <c r="C442" s="83" t="s">
        <v>273</v>
      </c>
      <c r="D442" s="83" t="s">
        <v>21</v>
      </c>
      <c r="E442" s="83" t="s">
        <v>275</v>
      </c>
    </row>
    <row r="443" spans="1:5" ht="30" x14ac:dyDescent="0.25">
      <c r="A443" s="84">
        <v>45855.427291666667</v>
      </c>
      <c r="B443" s="83">
        <v>80</v>
      </c>
      <c r="C443" s="83" t="s">
        <v>193</v>
      </c>
      <c r="D443" s="83" t="s">
        <v>26</v>
      </c>
      <c r="E443" s="83" t="s">
        <v>875</v>
      </c>
    </row>
    <row r="444" spans="1:5" ht="30" x14ac:dyDescent="0.25">
      <c r="A444" s="84">
        <v>45855.488229166665</v>
      </c>
      <c r="B444" s="83">
        <v>14</v>
      </c>
      <c r="C444" s="83" t="s">
        <v>56</v>
      </c>
      <c r="D444" s="83" t="s">
        <v>21</v>
      </c>
      <c r="E444" s="83" t="s">
        <v>60</v>
      </c>
    </row>
    <row r="445" spans="1:5" ht="30" x14ac:dyDescent="0.25">
      <c r="A445" s="84">
        <v>45855.488229166665</v>
      </c>
      <c r="B445" s="83">
        <v>15</v>
      </c>
      <c r="C445" s="83" t="s">
        <v>73</v>
      </c>
      <c r="D445" s="83" t="s">
        <v>21</v>
      </c>
      <c r="E445" s="83" t="s">
        <v>76</v>
      </c>
    </row>
    <row r="446" spans="1:5" ht="30" x14ac:dyDescent="0.25">
      <c r="A446" s="84">
        <v>45855.488229166665</v>
      </c>
      <c r="B446" s="83">
        <v>16</v>
      </c>
      <c r="C446" s="83" t="s">
        <v>78</v>
      </c>
      <c r="D446" s="83" t="s">
        <v>21</v>
      </c>
      <c r="E446" s="83" t="s">
        <v>80</v>
      </c>
    </row>
    <row r="447" spans="1:5" ht="45" x14ac:dyDescent="0.25">
      <c r="A447" s="84">
        <v>45855.488229166665</v>
      </c>
      <c r="B447" s="83">
        <v>17</v>
      </c>
      <c r="C447" s="83" t="s">
        <v>125</v>
      </c>
      <c r="D447" s="83" t="s">
        <v>21</v>
      </c>
      <c r="E447" s="83" t="s">
        <v>127</v>
      </c>
    </row>
    <row r="448" spans="1:5" ht="45" x14ac:dyDescent="0.25">
      <c r="A448" s="84">
        <v>45855.488229166665</v>
      </c>
      <c r="B448" s="83">
        <v>18</v>
      </c>
      <c r="C448" s="83" t="s">
        <v>141</v>
      </c>
      <c r="D448" s="83" t="s">
        <v>21</v>
      </c>
      <c r="E448" s="83" t="s">
        <v>585</v>
      </c>
    </row>
    <row r="449" spans="1:5" ht="30" x14ac:dyDescent="0.25">
      <c r="A449" s="84">
        <v>45855.488229166665</v>
      </c>
      <c r="B449" s="83">
        <v>19</v>
      </c>
      <c r="C449" s="83" t="s">
        <v>144</v>
      </c>
      <c r="D449" s="83" t="s">
        <v>21</v>
      </c>
      <c r="E449" s="83" t="s">
        <v>84</v>
      </c>
    </row>
    <row r="450" spans="1:5" ht="60" x14ac:dyDescent="0.25">
      <c r="A450" s="84">
        <v>45855.488229166665</v>
      </c>
      <c r="B450" s="83">
        <v>20</v>
      </c>
      <c r="C450" s="83" t="s">
        <v>148</v>
      </c>
      <c r="D450" s="83" t="s">
        <v>21</v>
      </c>
      <c r="E450" s="83" t="s">
        <v>150</v>
      </c>
    </row>
    <row r="451" spans="1:5" ht="60" x14ac:dyDescent="0.25">
      <c r="A451" s="84">
        <v>45855.488240740742</v>
      </c>
      <c r="B451" s="83">
        <v>21</v>
      </c>
      <c r="C451" s="83" t="s">
        <v>151</v>
      </c>
      <c r="D451" s="83" t="s">
        <v>21</v>
      </c>
      <c r="E451" s="83" t="s">
        <v>153</v>
      </c>
    </row>
    <row r="452" spans="1:5" ht="45" x14ac:dyDescent="0.25">
      <c r="A452" s="84">
        <v>45855.488240740742</v>
      </c>
      <c r="B452" s="83">
        <v>22</v>
      </c>
      <c r="C452" s="83" t="s">
        <v>154</v>
      </c>
      <c r="D452" s="83" t="s">
        <v>21</v>
      </c>
      <c r="E452" s="83" t="s">
        <v>156</v>
      </c>
    </row>
    <row r="453" spans="1:5" ht="30" x14ac:dyDescent="0.25">
      <c r="A453" s="84">
        <v>45855.488240740742</v>
      </c>
      <c r="B453" s="83">
        <v>23</v>
      </c>
      <c r="C453" s="83" t="s">
        <v>179</v>
      </c>
      <c r="D453" s="83" t="s">
        <v>21</v>
      </c>
      <c r="E453" s="83" t="s">
        <v>181</v>
      </c>
    </row>
    <row r="454" spans="1:5" ht="45" x14ac:dyDescent="0.25">
      <c r="A454" s="84">
        <v>45855.488240740742</v>
      </c>
      <c r="B454" s="83">
        <v>24</v>
      </c>
      <c r="C454" s="83" t="s">
        <v>185</v>
      </c>
      <c r="D454" s="83" t="s">
        <v>21</v>
      </c>
      <c r="E454" s="83" t="s">
        <v>586</v>
      </c>
    </row>
    <row r="455" spans="1:5" ht="30" x14ac:dyDescent="0.25">
      <c r="A455" s="84">
        <v>45855.488240740742</v>
      </c>
      <c r="B455" s="83">
        <v>25</v>
      </c>
      <c r="C455" s="83" t="s">
        <v>198</v>
      </c>
      <c r="D455" s="83" t="s">
        <v>21</v>
      </c>
      <c r="E455" s="83" t="s">
        <v>200</v>
      </c>
    </row>
    <row r="456" spans="1:5" ht="30" x14ac:dyDescent="0.25">
      <c r="A456" s="84">
        <v>45855.488240740742</v>
      </c>
      <c r="B456" s="83">
        <v>26</v>
      </c>
      <c r="C456" s="83" t="s">
        <v>211</v>
      </c>
      <c r="D456" s="83" t="s">
        <v>21</v>
      </c>
      <c r="E456" s="83" t="s">
        <v>213</v>
      </c>
    </row>
    <row r="457" spans="1:5" ht="30" x14ac:dyDescent="0.25">
      <c r="A457" s="84">
        <v>45855.488252314812</v>
      </c>
      <c r="B457" s="83">
        <v>27</v>
      </c>
      <c r="C457" s="83" t="s">
        <v>618</v>
      </c>
      <c r="D457" s="83" t="s">
        <v>21</v>
      </c>
      <c r="E457" s="83" t="s">
        <v>857</v>
      </c>
    </row>
    <row r="458" spans="1:5" ht="60" x14ac:dyDescent="0.25">
      <c r="A458" s="84">
        <v>45855.488252314812</v>
      </c>
      <c r="B458" s="83">
        <v>28</v>
      </c>
      <c r="C458" s="83" t="s">
        <v>264</v>
      </c>
      <c r="D458" s="83" t="s">
        <v>21</v>
      </c>
      <c r="E458" s="83" t="s">
        <v>266</v>
      </c>
    </row>
    <row r="459" spans="1:5" ht="105" x14ac:dyDescent="0.25">
      <c r="A459" s="84">
        <v>45855.488252314812</v>
      </c>
      <c r="B459" s="83">
        <v>29</v>
      </c>
      <c r="C459" s="83" t="s">
        <v>267</v>
      </c>
      <c r="D459" s="83" t="s">
        <v>21</v>
      </c>
      <c r="E459" s="83" t="s">
        <v>269</v>
      </c>
    </row>
    <row r="460" spans="1:5" ht="30" x14ac:dyDescent="0.25">
      <c r="A460" s="84">
        <v>45855.488252314812</v>
      </c>
      <c r="B460" s="83">
        <v>30</v>
      </c>
      <c r="C460" s="83" t="s">
        <v>273</v>
      </c>
      <c r="D460" s="83" t="s">
        <v>21</v>
      </c>
      <c r="E460" s="83" t="s">
        <v>275</v>
      </c>
    </row>
    <row r="461" spans="1:5" ht="60" x14ac:dyDescent="0.25">
      <c r="A461" s="84">
        <v>45855.488252314812</v>
      </c>
      <c r="B461" s="83">
        <v>31</v>
      </c>
      <c r="C461" s="83" t="s">
        <v>277</v>
      </c>
      <c r="D461" s="83" t="s">
        <v>21</v>
      </c>
      <c r="E461" s="83" t="s">
        <v>279</v>
      </c>
    </row>
    <row r="462" spans="1:5" ht="75" x14ac:dyDescent="0.25">
      <c r="A462" s="84">
        <v>45855.488252314812</v>
      </c>
      <c r="B462" s="83">
        <v>32</v>
      </c>
      <c r="C462" s="83" t="s">
        <v>286</v>
      </c>
      <c r="D462" s="83" t="s">
        <v>21</v>
      </c>
      <c r="E462" s="83" t="s">
        <v>288</v>
      </c>
    </row>
    <row r="463" spans="1:5" ht="75" x14ac:dyDescent="0.25">
      <c r="A463" s="84">
        <v>45855.488252314812</v>
      </c>
      <c r="B463" s="83">
        <v>33</v>
      </c>
      <c r="C463" s="83" t="s">
        <v>290</v>
      </c>
      <c r="D463" s="83" t="s">
        <v>21</v>
      </c>
      <c r="E463" s="83" t="s">
        <v>292</v>
      </c>
    </row>
    <row r="464" spans="1:5" ht="45" x14ac:dyDescent="0.25">
      <c r="A464" s="84">
        <v>45855.488252314812</v>
      </c>
      <c r="B464" s="83">
        <v>34</v>
      </c>
      <c r="C464" s="83" t="s">
        <v>338</v>
      </c>
      <c r="D464" s="83" t="s">
        <v>21</v>
      </c>
      <c r="E464" s="83" t="s">
        <v>340</v>
      </c>
    </row>
    <row r="465" spans="1:5" ht="30" x14ac:dyDescent="0.25">
      <c r="A465" s="84">
        <v>45855.488252314812</v>
      </c>
      <c r="B465" s="83">
        <v>35</v>
      </c>
      <c r="C465" s="83" t="s">
        <v>345</v>
      </c>
      <c r="D465" s="83" t="s">
        <v>21</v>
      </c>
      <c r="E465" s="83"/>
    </row>
    <row r="466" spans="1:5" ht="30" x14ac:dyDescent="0.25">
      <c r="A466" s="84">
        <v>45855.488252314812</v>
      </c>
      <c r="B466" s="83">
        <v>36</v>
      </c>
      <c r="C466" s="83" t="s">
        <v>348</v>
      </c>
      <c r="D466" s="83" t="s">
        <v>21</v>
      </c>
      <c r="E466" s="83" t="s">
        <v>349</v>
      </c>
    </row>
    <row r="467" spans="1:5" ht="30" x14ac:dyDescent="0.25">
      <c r="A467" s="84">
        <v>45855.488263888888</v>
      </c>
      <c r="B467" s="83">
        <v>37</v>
      </c>
      <c r="C467" s="83" t="s">
        <v>351</v>
      </c>
      <c r="D467" s="83" t="s">
        <v>21</v>
      </c>
      <c r="E467" s="83" t="s">
        <v>591</v>
      </c>
    </row>
    <row r="468" spans="1:5" ht="45" x14ac:dyDescent="0.25">
      <c r="A468" s="84">
        <v>45855.488263888888</v>
      </c>
      <c r="B468" s="83">
        <v>38</v>
      </c>
      <c r="C468" s="83" t="s">
        <v>360</v>
      </c>
      <c r="D468" s="83" t="s">
        <v>21</v>
      </c>
      <c r="E468" s="83" t="s">
        <v>362</v>
      </c>
    </row>
    <row r="469" spans="1:5" ht="30" x14ac:dyDescent="0.25">
      <c r="A469" s="84">
        <v>45855.488263888888</v>
      </c>
      <c r="B469" s="83">
        <v>39</v>
      </c>
      <c r="C469" s="83" t="s">
        <v>365</v>
      </c>
      <c r="D469" s="83" t="s">
        <v>21</v>
      </c>
      <c r="E469" s="83" t="s">
        <v>366</v>
      </c>
    </row>
    <row r="470" spans="1:5" ht="75" x14ac:dyDescent="0.25">
      <c r="A470" s="84">
        <v>45855.488263888888</v>
      </c>
      <c r="B470" s="83">
        <v>40</v>
      </c>
      <c r="C470" s="83" t="s">
        <v>368</v>
      </c>
      <c r="D470" s="83" t="s">
        <v>21</v>
      </c>
      <c r="E470" s="83" t="s">
        <v>369</v>
      </c>
    </row>
    <row r="471" spans="1:5" ht="30" x14ac:dyDescent="0.25">
      <c r="A471" s="84">
        <v>45855.488263888888</v>
      </c>
      <c r="B471" s="83">
        <v>41</v>
      </c>
      <c r="C471" s="83" t="s">
        <v>380</v>
      </c>
      <c r="D471" s="83" t="s">
        <v>21</v>
      </c>
      <c r="E471" s="83"/>
    </row>
    <row r="472" spans="1:5" ht="30" x14ac:dyDescent="0.25">
      <c r="A472" s="84">
        <v>45855.488263888888</v>
      </c>
      <c r="B472" s="83">
        <v>42</v>
      </c>
      <c r="C472" s="83" t="s">
        <v>760</v>
      </c>
      <c r="D472" s="83" t="s">
        <v>21</v>
      </c>
      <c r="E472" s="83"/>
    </row>
    <row r="473" spans="1:5" ht="30" x14ac:dyDescent="0.25">
      <c r="A473" s="84">
        <v>45855.488263888888</v>
      </c>
      <c r="B473" s="83">
        <v>43</v>
      </c>
      <c r="C473" s="83" t="s">
        <v>65</v>
      </c>
      <c r="D473" s="83" t="s">
        <v>23</v>
      </c>
      <c r="E473" s="83" t="s">
        <v>865</v>
      </c>
    </row>
    <row r="474" spans="1:5" ht="30" x14ac:dyDescent="0.25">
      <c r="A474" s="84">
        <v>45855.488263888888</v>
      </c>
      <c r="B474" s="83">
        <v>44</v>
      </c>
      <c r="C474" s="83" t="s">
        <v>739</v>
      </c>
      <c r="D474" s="83" t="s">
        <v>23</v>
      </c>
      <c r="E474" s="83" t="s">
        <v>864</v>
      </c>
    </row>
    <row r="475" spans="1:5" ht="30" x14ac:dyDescent="0.25">
      <c r="A475" s="84">
        <v>45855.488263888888</v>
      </c>
      <c r="B475" s="83">
        <v>45</v>
      </c>
      <c r="C475" s="83" t="s">
        <v>82</v>
      </c>
      <c r="D475" s="83" t="s">
        <v>55</v>
      </c>
      <c r="E475" s="83" t="s">
        <v>84</v>
      </c>
    </row>
    <row r="476" spans="1:5" ht="30" x14ac:dyDescent="0.25">
      <c r="A476" s="84">
        <v>45855.488263888888</v>
      </c>
      <c r="B476" s="83">
        <v>46</v>
      </c>
      <c r="C476" s="83" t="s">
        <v>85</v>
      </c>
      <c r="D476" s="83" t="s">
        <v>55</v>
      </c>
      <c r="E476" s="83" t="s">
        <v>84</v>
      </c>
    </row>
    <row r="477" spans="1:5" ht="30" x14ac:dyDescent="0.25">
      <c r="A477" s="84">
        <v>45855.488275462965</v>
      </c>
      <c r="B477" s="83">
        <v>47</v>
      </c>
      <c r="C477" s="83" t="s">
        <v>99</v>
      </c>
      <c r="D477" s="83" t="s">
        <v>55</v>
      </c>
      <c r="E477" s="83" t="s">
        <v>84</v>
      </c>
    </row>
    <row r="478" spans="1:5" ht="30" x14ac:dyDescent="0.25">
      <c r="A478" s="84">
        <v>45855.488275462965</v>
      </c>
      <c r="B478" s="83">
        <v>48</v>
      </c>
      <c r="C478" s="83" t="s">
        <v>101</v>
      </c>
      <c r="D478" s="83" t="s">
        <v>55</v>
      </c>
      <c r="E478" s="83" t="s">
        <v>84</v>
      </c>
    </row>
    <row r="479" spans="1:5" ht="30" x14ac:dyDescent="0.25">
      <c r="A479" s="84">
        <v>45855.488275462965</v>
      </c>
      <c r="B479" s="83">
        <v>49</v>
      </c>
      <c r="C479" s="83" t="s">
        <v>110</v>
      </c>
      <c r="D479" s="83" t="s">
        <v>55</v>
      </c>
      <c r="E479" s="83" t="s">
        <v>113</v>
      </c>
    </row>
    <row r="480" spans="1:5" ht="60" x14ac:dyDescent="0.25">
      <c r="A480" s="84">
        <v>45855.488275462965</v>
      </c>
      <c r="B480" s="83">
        <v>50</v>
      </c>
      <c r="C480" s="83" t="s">
        <v>132</v>
      </c>
      <c r="D480" s="83" t="s">
        <v>55</v>
      </c>
      <c r="E480" s="83" t="s">
        <v>135</v>
      </c>
    </row>
    <row r="481" spans="1:5" ht="30" x14ac:dyDescent="0.25">
      <c r="A481" s="84">
        <v>45855.488275462965</v>
      </c>
      <c r="B481" s="83">
        <v>51</v>
      </c>
      <c r="C481" s="83" t="s">
        <v>137</v>
      </c>
      <c r="D481" s="83" t="s">
        <v>55</v>
      </c>
      <c r="E481" s="83" t="s">
        <v>84</v>
      </c>
    </row>
    <row r="482" spans="1:5" ht="30" x14ac:dyDescent="0.25">
      <c r="A482" s="84">
        <v>45855.488275462965</v>
      </c>
      <c r="B482" s="83">
        <v>52</v>
      </c>
      <c r="C482" s="83" t="s">
        <v>139</v>
      </c>
      <c r="D482" s="83" t="s">
        <v>55</v>
      </c>
      <c r="E482" s="83" t="s">
        <v>84</v>
      </c>
    </row>
    <row r="483" spans="1:5" ht="30" x14ac:dyDescent="0.25">
      <c r="A483" s="84">
        <v>45855.488287037035</v>
      </c>
      <c r="B483" s="83">
        <v>53</v>
      </c>
      <c r="C483" s="83" t="s">
        <v>158</v>
      </c>
      <c r="D483" s="83" t="s">
        <v>55</v>
      </c>
      <c r="E483" s="83" t="s">
        <v>84</v>
      </c>
    </row>
    <row r="484" spans="1:5" ht="30" x14ac:dyDescent="0.25">
      <c r="A484" s="84">
        <v>45855.488287037035</v>
      </c>
      <c r="B484" s="83">
        <v>54</v>
      </c>
      <c r="C484" s="83" t="s">
        <v>160</v>
      </c>
      <c r="D484" s="83" t="s">
        <v>55</v>
      </c>
      <c r="E484" s="83" t="s">
        <v>84</v>
      </c>
    </row>
    <row r="485" spans="1:5" ht="30" x14ac:dyDescent="0.25">
      <c r="A485" s="84">
        <v>45855.488287037035</v>
      </c>
      <c r="B485" s="83">
        <v>55</v>
      </c>
      <c r="C485" s="83" t="s">
        <v>163</v>
      </c>
      <c r="D485" s="83" t="s">
        <v>55</v>
      </c>
      <c r="E485" s="83" t="s">
        <v>84</v>
      </c>
    </row>
    <row r="486" spans="1:5" ht="30" x14ac:dyDescent="0.25">
      <c r="A486" s="84">
        <v>45855.488287037035</v>
      </c>
      <c r="B486" s="83">
        <v>56</v>
      </c>
      <c r="C486" s="83" t="s">
        <v>166</v>
      </c>
      <c r="D486" s="83" t="s">
        <v>55</v>
      </c>
      <c r="E486" s="83" t="s">
        <v>168</v>
      </c>
    </row>
    <row r="487" spans="1:5" ht="120" x14ac:dyDescent="0.25">
      <c r="A487" s="84">
        <v>45855.488287037035</v>
      </c>
      <c r="B487" s="83">
        <v>57</v>
      </c>
      <c r="C487" s="83" t="s">
        <v>169</v>
      </c>
      <c r="D487" s="83" t="s">
        <v>55</v>
      </c>
      <c r="E487" s="83" t="s">
        <v>171</v>
      </c>
    </row>
    <row r="488" spans="1:5" ht="30" x14ac:dyDescent="0.25">
      <c r="A488" s="84">
        <v>45855.488287037035</v>
      </c>
      <c r="B488" s="83">
        <v>58</v>
      </c>
      <c r="C488" s="83" t="s">
        <v>190</v>
      </c>
      <c r="D488" s="83" t="s">
        <v>55</v>
      </c>
      <c r="E488" s="83" t="s">
        <v>84</v>
      </c>
    </row>
    <row r="489" spans="1:5" ht="30" x14ac:dyDescent="0.25">
      <c r="A489" s="84">
        <v>45855.488287037035</v>
      </c>
      <c r="B489" s="83">
        <v>59</v>
      </c>
      <c r="C489" s="83" t="s">
        <v>201</v>
      </c>
      <c r="D489" s="83" t="s">
        <v>55</v>
      </c>
      <c r="E489" s="83" t="s">
        <v>203</v>
      </c>
    </row>
    <row r="490" spans="1:5" ht="45" x14ac:dyDescent="0.25">
      <c r="A490" s="84">
        <v>45855.488298611112</v>
      </c>
      <c r="B490" s="83">
        <v>60</v>
      </c>
      <c r="C490" s="83" t="s">
        <v>205</v>
      </c>
      <c r="D490" s="83" t="s">
        <v>55</v>
      </c>
      <c r="E490" s="83" t="s">
        <v>208</v>
      </c>
    </row>
    <row r="491" spans="1:5" ht="30" x14ac:dyDescent="0.25">
      <c r="A491" s="84">
        <v>45855.488298611112</v>
      </c>
      <c r="B491" s="83">
        <v>61</v>
      </c>
      <c r="C491" s="83" t="s">
        <v>241</v>
      </c>
      <c r="D491" s="83" t="s">
        <v>55</v>
      </c>
      <c r="E491" s="83" t="s">
        <v>243</v>
      </c>
    </row>
    <row r="492" spans="1:5" ht="45" x14ac:dyDescent="0.25">
      <c r="A492" s="84">
        <v>45855.488298611112</v>
      </c>
      <c r="B492" s="83">
        <v>62</v>
      </c>
      <c r="C492" s="83" t="s">
        <v>246</v>
      </c>
      <c r="D492" s="83" t="s">
        <v>55</v>
      </c>
      <c r="E492" s="83" t="s">
        <v>248</v>
      </c>
    </row>
    <row r="493" spans="1:5" ht="135" x14ac:dyDescent="0.25">
      <c r="A493" s="84">
        <v>45855.488298611112</v>
      </c>
      <c r="B493" s="83">
        <v>63</v>
      </c>
      <c r="C493" s="83" t="s">
        <v>270</v>
      </c>
      <c r="D493" s="83" t="s">
        <v>55</v>
      </c>
      <c r="E493" s="83" t="s">
        <v>272</v>
      </c>
    </row>
    <row r="494" spans="1:5" ht="30" x14ac:dyDescent="0.25">
      <c r="A494" s="84">
        <v>45855.488298611112</v>
      </c>
      <c r="B494" s="83">
        <v>64</v>
      </c>
      <c r="C494" s="83" t="s">
        <v>299</v>
      </c>
      <c r="D494" s="83" t="s">
        <v>55</v>
      </c>
      <c r="E494" s="83" t="s">
        <v>301</v>
      </c>
    </row>
    <row r="495" spans="1:5" ht="30" x14ac:dyDescent="0.25">
      <c r="A495" s="84">
        <v>45855.488298611112</v>
      </c>
      <c r="B495" s="83">
        <v>65</v>
      </c>
      <c r="C495" s="83" t="s">
        <v>302</v>
      </c>
      <c r="D495" s="83" t="s">
        <v>55</v>
      </c>
      <c r="E495" s="83" t="s">
        <v>304</v>
      </c>
    </row>
    <row r="496" spans="1:5" ht="30" x14ac:dyDescent="0.25">
      <c r="A496" s="84">
        <v>45855.488298611112</v>
      </c>
      <c r="B496" s="83">
        <v>66</v>
      </c>
      <c r="C496" s="83" t="s">
        <v>305</v>
      </c>
      <c r="D496" s="83" t="s">
        <v>55</v>
      </c>
      <c r="E496" s="83" t="s">
        <v>307</v>
      </c>
    </row>
    <row r="497" spans="1:5" ht="45" x14ac:dyDescent="0.25">
      <c r="A497" s="84">
        <v>45855.488310185188</v>
      </c>
      <c r="B497" s="83">
        <v>67</v>
      </c>
      <c r="C497" s="83" t="s">
        <v>308</v>
      </c>
      <c r="D497" s="83" t="s">
        <v>55</v>
      </c>
      <c r="E497" s="83" t="s">
        <v>310</v>
      </c>
    </row>
    <row r="498" spans="1:5" ht="30" x14ac:dyDescent="0.25">
      <c r="A498" s="84">
        <v>45855.488310185188</v>
      </c>
      <c r="B498" s="83">
        <v>68</v>
      </c>
      <c r="C498" s="83" t="s">
        <v>311</v>
      </c>
      <c r="D498" s="83" t="s">
        <v>55</v>
      </c>
      <c r="E498" s="83" t="s">
        <v>313</v>
      </c>
    </row>
    <row r="499" spans="1:5" ht="30" x14ac:dyDescent="0.25">
      <c r="A499" s="84">
        <v>45855.488310185188</v>
      </c>
      <c r="B499" s="83">
        <v>69</v>
      </c>
      <c r="C499" s="83" t="s">
        <v>328</v>
      </c>
      <c r="D499" s="83" t="s">
        <v>55</v>
      </c>
      <c r="E499" s="83" t="s">
        <v>330</v>
      </c>
    </row>
    <row r="500" spans="1:5" ht="30" x14ac:dyDescent="0.25">
      <c r="A500" s="84">
        <v>45855.488310185188</v>
      </c>
      <c r="B500" s="83">
        <v>70</v>
      </c>
      <c r="C500" s="83" t="s">
        <v>375</v>
      </c>
      <c r="D500" s="83" t="s">
        <v>55</v>
      </c>
      <c r="E500" s="83" t="s">
        <v>377</v>
      </c>
    </row>
    <row r="501" spans="1:5" ht="30" x14ac:dyDescent="0.25">
      <c r="A501" s="84">
        <v>45855.488310185188</v>
      </c>
      <c r="B501" s="83">
        <v>71</v>
      </c>
      <c r="C501" s="83" t="s">
        <v>387</v>
      </c>
      <c r="D501" s="83" t="s">
        <v>55</v>
      </c>
      <c r="E501" s="83" t="s">
        <v>389</v>
      </c>
    </row>
    <row r="502" spans="1:5" ht="30" x14ac:dyDescent="0.25">
      <c r="A502" s="84">
        <v>45855.488310185188</v>
      </c>
      <c r="B502" s="83">
        <v>72</v>
      </c>
      <c r="C502" s="83" t="s">
        <v>87</v>
      </c>
      <c r="D502" s="83" t="s">
        <v>25</v>
      </c>
      <c r="E502" s="83" t="s">
        <v>873</v>
      </c>
    </row>
    <row r="503" spans="1:5" ht="90" x14ac:dyDescent="0.25">
      <c r="A503" s="84">
        <v>45855.488310185188</v>
      </c>
      <c r="B503" s="83">
        <v>73</v>
      </c>
      <c r="C503" s="83" t="s">
        <v>92</v>
      </c>
      <c r="D503" s="83" t="s">
        <v>21</v>
      </c>
      <c r="E503" s="83" t="s">
        <v>876</v>
      </c>
    </row>
    <row r="504" spans="1:5" ht="90" x14ac:dyDescent="0.25">
      <c r="A504" s="84">
        <v>45855.488321759258</v>
      </c>
      <c r="B504" s="83">
        <v>74</v>
      </c>
      <c r="C504" s="83" t="s">
        <v>103</v>
      </c>
      <c r="D504" s="83" t="s">
        <v>25</v>
      </c>
      <c r="E504" s="83" t="s">
        <v>851</v>
      </c>
    </row>
    <row r="505" spans="1:5" ht="30" x14ac:dyDescent="0.25">
      <c r="A505" s="84">
        <v>45855.488321759258</v>
      </c>
      <c r="B505" s="83">
        <v>75</v>
      </c>
      <c r="C505" s="83" t="s">
        <v>108</v>
      </c>
      <c r="D505" s="83" t="s">
        <v>25</v>
      </c>
      <c r="E505" s="83" t="s">
        <v>869</v>
      </c>
    </row>
    <row r="506" spans="1:5" ht="30" x14ac:dyDescent="0.25">
      <c r="A506" s="84">
        <v>45855.488321759258</v>
      </c>
      <c r="B506" s="83">
        <v>76</v>
      </c>
      <c r="C506" s="83" t="s">
        <v>117</v>
      </c>
      <c r="D506" s="83" t="s">
        <v>25</v>
      </c>
      <c r="E506" s="83" t="s">
        <v>858</v>
      </c>
    </row>
    <row r="507" spans="1:5" ht="30" x14ac:dyDescent="0.25">
      <c r="A507" s="84">
        <v>45855.488321759258</v>
      </c>
      <c r="B507" s="83">
        <v>77</v>
      </c>
      <c r="C507" s="83" t="s">
        <v>175</v>
      </c>
      <c r="D507" s="83" t="s">
        <v>27</v>
      </c>
      <c r="E507" s="83" t="s">
        <v>874</v>
      </c>
    </row>
    <row r="508" spans="1:5" ht="45" x14ac:dyDescent="0.25">
      <c r="A508" s="84">
        <v>45855.488321759258</v>
      </c>
      <c r="B508" s="83">
        <v>78</v>
      </c>
      <c r="C508" s="83" t="s">
        <v>391</v>
      </c>
      <c r="D508" s="83" t="s">
        <v>21</v>
      </c>
      <c r="E508" s="83" t="s">
        <v>872</v>
      </c>
    </row>
    <row r="509" spans="1:5" ht="30" x14ac:dyDescent="0.25">
      <c r="A509" s="84">
        <v>45855.488333333335</v>
      </c>
      <c r="B509" s="83">
        <v>79</v>
      </c>
      <c r="C509" s="83" t="s">
        <v>122</v>
      </c>
      <c r="D509" s="83" t="s">
        <v>26</v>
      </c>
      <c r="E509" s="83" t="s">
        <v>870</v>
      </c>
    </row>
    <row r="510" spans="1:5" ht="30" x14ac:dyDescent="0.25">
      <c r="A510" s="84">
        <v>45855.488333333335</v>
      </c>
      <c r="B510" s="83">
        <v>80</v>
      </c>
      <c r="C510" s="83" t="s">
        <v>193</v>
      </c>
      <c r="D510" s="83" t="s">
        <v>26</v>
      </c>
      <c r="E510" s="83" t="s">
        <v>875</v>
      </c>
    </row>
    <row r="511" spans="1:5" ht="45" x14ac:dyDescent="0.25">
      <c r="A511" s="84">
        <v>45855.488333333335</v>
      </c>
      <c r="B511" s="83">
        <v>81</v>
      </c>
      <c r="C511" s="83" t="s">
        <v>602</v>
      </c>
      <c r="D511" s="83" t="s">
        <v>26</v>
      </c>
      <c r="E511" s="83" t="s">
        <v>863</v>
      </c>
    </row>
    <row r="512" spans="1:5" ht="30" x14ac:dyDescent="0.25">
      <c r="A512" s="84">
        <v>45855.488333333335</v>
      </c>
      <c r="B512" s="83">
        <v>82</v>
      </c>
      <c r="C512" s="83" t="s">
        <v>215</v>
      </c>
      <c r="D512" s="83" t="s">
        <v>27</v>
      </c>
      <c r="E512" s="83" t="s">
        <v>755</v>
      </c>
    </row>
    <row r="513" spans="1:5" ht="30" x14ac:dyDescent="0.25">
      <c r="A513" s="84">
        <v>45855.488333333335</v>
      </c>
      <c r="B513" s="83">
        <v>83</v>
      </c>
      <c r="C513" s="83" t="s">
        <v>220</v>
      </c>
      <c r="D513" s="83" t="s">
        <v>27</v>
      </c>
      <c r="E513" s="83" t="s">
        <v>222</v>
      </c>
    </row>
    <row r="514" spans="1:5" ht="30" x14ac:dyDescent="0.25">
      <c r="A514" s="84">
        <v>45855.488344907404</v>
      </c>
      <c r="B514" s="83">
        <v>84</v>
      </c>
      <c r="C514" s="83" t="s">
        <v>225</v>
      </c>
      <c r="D514" s="83" t="s">
        <v>27</v>
      </c>
      <c r="E514" s="83" t="s">
        <v>758</v>
      </c>
    </row>
    <row r="515" spans="1:5" ht="30" x14ac:dyDescent="0.25">
      <c r="A515" s="84">
        <v>45855.488344907404</v>
      </c>
      <c r="B515" s="83">
        <v>85</v>
      </c>
      <c r="C515" s="83" t="s">
        <v>230</v>
      </c>
      <c r="D515" s="83" t="s">
        <v>27</v>
      </c>
      <c r="E515" s="83" t="s">
        <v>861</v>
      </c>
    </row>
    <row r="516" spans="1:5" ht="30" x14ac:dyDescent="0.25">
      <c r="A516" s="84">
        <v>45855.488344907404</v>
      </c>
      <c r="B516" s="83">
        <v>86</v>
      </c>
      <c r="C516" s="83" t="s">
        <v>236</v>
      </c>
      <c r="D516" s="83" t="s">
        <v>27</v>
      </c>
      <c r="E516" s="83" t="s">
        <v>238</v>
      </c>
    </row>
    <row r="517" spans="1:5" ht="30" x14ac:dyDescent="0.25">
      <c r="A517" s="84">
        <v>45855.488344907404</v>
      </c>
      <c r="B517" s="83">
        <v>87</v>
      </c>
      <c r="C517" s="83" t="s">
        <v>372</v>
      </c>
      <c r="D517" s="83" t="s">
        <v>27</v>
      </c>
      <c r="E517" s="83" t="s">
        <v>598</v>
      </c>
    </row>
    <row r="518" spans="1:5" ht="30" x14ac:dyDescent="0.25">
      <c r="A518" s="84">
        <v>45855.488344907404</v>
      </c>
      <c r="B518" s="83">
        <v>88</v>
      </c>
      <c r="C518" s="83" t="s">
        <v>280</v>
      </c>
      <c r="D518" s="83" t="s">
        <v>29</v>
      </c>
      <c r="E518" s="83" t="s">
        <v>622</v>
      </c>
    </row>
    <row r="519" spans="1:5" ht="30" x14ac:dyDescent="0.25">
      <c r="A519" s="84">
        <v>45855.488356481481</v>
      </c>
      <c r="B519" s="83">
        <v>89</v>
      </c>
      <c r="C519" s="83" t="s">
        <v>295</v>
      </c>
      <c r="D519" s="83" t="s">
        <v>29</v>
      </c>
      <c r="E519" s="83" t="s">
        <v>866</v>
      </c>
    </row>
    <row r="520" spans="1:5" ht="75" x14ac:dyDescent="0.25">
      <c r="A520" s="84">
        <v>45855.488356481481</v>
      </c>
      <c r="B520" s="83">
        <v>90</v>
      </c>
      <c r="C520" s="83" t="s">
        <v>250</v>
      </c>
      <c r="D520" s="83" t="s">
        <v>30</v>
      </c>
      <c r="E520" s="83" t="s">
        <v>754</v>
      </c>
    </row>
    <row r="521" spans="1:5" ht="60" x14ac:dyDescent="0.25">
      <c r="A521" s="84">
        <v>45855.488506944443</v>
      </c>
      <c r="B521" s="83">
        <v>91</v>
      </c>
      <c r="C521" s="83" t="s">
        <v>255</v>
      </c>
      <c r="D521" s="83" t="s">
        <v>30</v>
      </c>
      <c r="E521" s="83" t="s">
        <v>862</v>
      </c>
    </row>
    <row r="522" spans="1:5" ht="30" x14ac:dyDescent="0.25">
      <c r="A522" s="84">
        <v>45855.488506944443</v>
      </c>
      <c r="B522" s="83">
        <v>92</v>
      </c>
      <c r="C522" s="83" t="s">
        <v>314</v>
      </c>
      <c r="D522" s="83" t="s">
        <v>30</v>
      </c>
      <c r="E522" s="83" t="s">
        <v>859</v>
      </c>
    </row>
    <row r="523" spans="1:5" ht="30" x14ac:dyDescent="0.25">
      <c r="A523" s="84">
        <v>45855.488518518519</v>
      </c>
      <c r="B523" s="83">
        <v>93</v>
      </c>
      <c r="C523" s="83" t="s">
        <v>318</v>
      </c>
      <c r="D523" s="83" t="s">
        <v>30</v>
      </c>
      <c r="E523" s="83" t="s">
        <v>738</v>
      </c>
    </row>
    <row r="524" spans="1:5" ht="30" x14ac:dyDescent="0.25">
      <c r="A524" s="84">
        <v>45855.488888888889</v>
      </c>
      <c r="B524" s="83">
        <v>94</v>
      </c>
      <c r="C524" s="83" t="s">
        <v>323</v>
      </c>
      <c r="D524" s="83" t="s">
        <v>30</v>
      </c>
      <c r="E524" s="83" t="s">
        <v>749</v>
      </c>
    </row>
    <row r="525" spans="1:5" ht="30" x14ac:dyDescent="0.25">
      <c r="A525" s="84">
        <v>45862.504166666666</v>
      </c>
      <c r="B525" s="83">
        <v>83</v>
      </c>
      <c r="C525" s="83" t="s">
        <v>602</v>
      </c>
      <c r="D525" s="83" t="s">
        <v>944</v>
      </c>
      <c r="E525" s="83" t="s">
        <v>947</v>
      </c>
    </row>
    <row r="526" spans="1:5" ht="30" x14ac:dyDescent="0.25">
      <c r="A526" s="84">
        <v>45862.507986111108</v>
      </c>
      <c r="B526" s="83">
        <v>46</v>
      </c>
      <c r="C526" s="83" t="s">
        <v>65</v>
      </c>
      <c r="D526" s="83" t="s">
        <v>23</v>
      </c>
      <c r="E526" s="83" t="s">
        <v>865</v>
      </c>
    </row>
    <row r="527" spans="1:5" ht="30" x14ac:dyDescent="0.25">
      <c r="A527" s="84">
        <v>45862.507997685185</v>
      </c>
      <c r="B527" s="83">
        <v>47</v>
      </c>
      <c r="C527" s="83" t="s">
        <v>739</v>
      </c>
      <c r="D527" s="83" t="s">
        <v>23</v>
      </c>
      <c r="E527" s="83" t="s">
        <v>864</v>
      </c>
    </row>
    <row r="528" spans="1:5" ht="30" x14ac:dyDescent="0.25">
      <c r="A528" s="84">
        <v>45862.507997685185</v>
      </c>
      <c r="B528" s="83">
        <v>75</v>
      </c>
      <c r="C528" s="83" t="s">
        <v>87</v>
      </c>
      <c r="D528" s="83" t="s">
        <v>25</v>
      </c>
      <c r="E528" s="83" t="s">
        <v>873</v>
      </c>
    </row>
    <row r="529" spans="1:5" ht="30" x14ac:dyDescent="0.25">
      <c r="A529" s="84">
        <v>45862.508009259262</v>
      </c>
      <c r="B529" s="83">
        <v>77</v>
      </c>
      <c r="C529" s="83" t="s">
        <v>108</v>
      </c>
      <c r="D529" s="83" t="s">
        <v>25</v>
      </c>
      <c r="E529" s="83" t="s">
        <v>931</v>
      </c>
    </row>
    <row r="530" spans="1:5" ht="30" x14ac:dyDescent="0.25">
      <c r="A530" s="84">
        <v>45862.508009259262</v>
      </c>
      <c r="B530" s="83">
        <v>78</v>
      </c>
      <c r="C530" s="83" t="s">
        <v>117</v>
      </c>
      <c r="D530" s="83" t="s">
        <v>25</v>
      </c>
      <c r="E530" s="83" t="s">
        <v>858</v>
      </c>
    </row>
    <row r="531" spans="1:5" ht="30" x14ac:dyDescent="0.25">
      <c r="A531" s="84">
        <v>45862.508020833331</v>
      </c>
      <c r="B531" s="83">
        <v>79</v>
      </c>
      <c r="C531" s="83" t="s">
        <v>103</v>
      </c>
      <c r="D531" s="83" t="s">
        <v>26</v>
      </c>
      <c r="E531" s="83" t="s">
        <v>932</v>
      </c>
    </row>
    <row r="532" spans="1:5" ht="30" x14ac:dyDescent="0.25">
      <c r="A532" s="84">
        <v>45862.508020833331</v>
      </c>
      <c r="B532" s="83">
        <v>80</v>
      </c>
      <c r="C532" s="83" t="s">
        <v>122</v>
      </c>
      <c r="D532" s="83" t="s">
        <v>26</v>
      </c>
      <c r="E532" s="83" t="s">
        <v>933</v>
      </c>
    </row>
    <row r="533" spans="1:5" ht="30" x14ac:dyDescent="0.25">
      <c r="A533" s="84">
        <v>45862.508032407408</v>
      </c>
      <c r="B533" s="83">
        <v>82</v>
      </c>
      <c r="C533" s="83" t="s">
        <v>193</v>
      </c>
      <c r="D533" s="83" t="s">
        <v>26</v>
      </c>
      <c r="E533" s="83" t="s">
        <v>875</v>
      </c>
    </row>
    <row r="534" spans="1:5" ht="30" x14ac:dyDescent="0.25">
      <c r="A534" s="84">
        <v>45862.508032407408</v>
      </c>
      <c r="B534" s="83">
        <v>83</v>
      </c>
      <c r="C534" s="83" t="s">
        <v>602</v>
      </c>
      <c r="D534" s="83" t="s">
        <v>944</v>
      </c>
      <c r="E534" s="83" t="s">
        <v>947</v>
      </c>
    </row>
    <row r="535" spans="1:5" ht="30" x14ac:dyDescent="0.25">
      <c r="A535" s="84">
        <v>45862.508043981485</v>
      </c>
      <c r="B535" s="83">
        <v>84</v>
      </c>
      <c r="C535" s="83" t="s">
        <v>175</v>
      </c>
      <c r="D535" s="83" t="s">
        <v>27</v>
      </c>
      <c r="E535" s="83" t="s">
        <v>874</v>
      </c>
    </row>
    <row r="536" spans="1:5" ht="30" x14ac:dyDescent="0.25">
      <c r="A536" s="84">
        <v>45862.508043981485</v>
      </c>
      <c r="B536" s="83">
        <v>86</v>
      </c>
      <c r="C536" s="83" t="s">
        <v>220</v>
      </c>
      <c r="D536" s="83" t="s">
        <v>27</v>
      </c>
      <c r="E536" s="83" t="s">
        <v>222</v>
      </c>
    </row>
    <row r="537" spans="1:5" ht="30" x14ac:dyDescent="0.25">
      <c r="A537" s="84">
        <v>45862.508043981485</v>
      </c>
      <c r="B537" s="83">
        <v>87</v>
      </c>
      <c r="C537" s="83" t="s">
        <v>236</v>
      </c>
      <c r="D537" s="83" t="s">
        <v>27</v>
      </c>
      <c r="E537" s="83" t="s">
        <v>238</v>
      </c>
    </row>
    <row r="538" spans="1:5" ht="30" x14ac:dyDescent="0.25">
      <c r="A538" s="84">
        <v>45862.508055555554</v>
      </c>
      <c r="B538" s="83">
        <v>89</v>
      </c>
      <c r="C538" s="83" t="s">
        <v>372</v>
      </c>
      <c r="D538" s="83" t="s">
        <v>27</v>
      </c>
      <c r="E538" s="83" t="s">
        <v>935</v>
      </c>
    </row>
    <row r="539" spans="1:5" ht="45" x14ac:dyDescent="0.25">
      <c r="A539" s="84">
        <v>45862.508055555554</v>
      </c>
      <c r="B539" s="83">
        <v>90</v>
      </c>
      <c r="C539" s="83" t="s">
        <v>225</v>
      </c>
      <c r="D539" s="83" t="s">
        <v>28</v>
      </c>
      <c r="E539" s="83" t="s">
        <v>942</v>
      </c>
    </row>
    <row r="540" spans="1:5" ht="30" x14ac:dyDescent="0.25">
      <c r="A540" s="84">
        <v>45862.508055555554</v>
      </c>
      <c r="B540" s="83">
        <v>91</v>
      </c>
      <c r="C540" s="83" t="s">
        <v>280</v>
      </c>
      <c r="D540" s="83" t="s">
        <v>29</v>
      </c>
      <c r="E540" s="83" t="s">
        <v>943</v>
      </c>
    </row>
    <row r="541" spans="1:5" ht="30" x14ac:dyDescent="0.25">
      <c r="A541" s="84">
        <v>45862.508067129631</v>
      </c>
      <c r="B541" s="83">
        <v>92</v>
      </c>
      <c r="C541" s="83" t="s">
        <v>295</v>
      </c>
      <c r="D541" s="83" t="s">
        <v>30</v>
      </c>
      <c r="E541" s="83" t="s">
        <v>936</v>
      </c>
    </row>
    <row r="542" spans="1:5" ht="30" x14ac:dyDescent="0.25">
      <c r="A542" s="84">
        <v>45862.508067129631</v>
      </c>
      <c r="B542" s="83">
        <v>93</v>
      </c>
      <c r="C542" s="83" t="s">
        <v>250</v>
      </c>
      <c r="D542" s="83" t="s">
        <v>30</v>
      </c>
      <c r="E542" s="83" t="s">
        <v>939</v>
      </c>
    </row>
    <row r="543" spans="1:5" ht="30" x14ac:dyDescent="0.25">
      <c r="A543" s="84">
        <v>45862.508067129631</v>
      </c>
      <c r="B543" s="83">
        <v>94</v>
      </c>
      <c r="C543" s="83" t="s">
        <v>255</v>
      </c>
      <c r="D543" s="83" t="s">
        <v>30</v>
      </c>
      <c r="E543" s="83" t="s">
        <v>940</v>
      </c>
    </row>
    <row r="544" spans="1:5" ht="30" x14ac:dyDescent="0.25">
      <c r="A544" s="84">
        <v>45862.508877314816</v>
      </c>
      <c r="B544" s="83">
        <v>92</v>
      </c>
      <c r="C544" s="83" t="s">
        <v>295</v>
      </c>
      <c r="D544" s="83" t="s">
        <v>30</v>
      </c>
      <c r="E544" s="83" t="s">
        <v>936</v>
      </c>
    </row>
    <row r="545" spans="1:5" ht="30" x14ac:dyDescent="0.25">
      <c r="A545" s="84">
        <v>45862.508877314816</v>
      </c>
      <c r="B545" s="83">
        <v>93</v>
      </c>
      <c r="C545" s="83" t="s">
        <v>250</v>
      </c>
      <c r="D545" s="83" t="s">
        <v>30</v>
      </c>
      <c r="E545" s="83" t="s">
        <v>939</v>
      </c>
    </row>
    <row r="546" spans="1:5" ht="30" x14ac:dyDescent="0.25">
      <c r="A546" s="84">
        <v>45862.508877314816</v>
      </c>
      <c r="B546" s="83">
        <v>94</v>
      </c>
      <c r="C546" s="83" t="s">
        <v>255</v>
      </c>
      <c r="D546" s="83" t="s">
        <v>30</v>
      </c>
      <c r="E546" s="83" t="s">
        <v>940</v>
      </c>
    </row>
    <row r="547" spans="1:5" ht="30" x14ac:dyDescent="0.25">
      <c r="A547" s="84">
        <v>45862.509398148148</v>
      </c>
      <c r="B547" s="83">
        <v>92</v>
      </c>
      <c r="C547" s="83" t="s">
        <v>295</v>
      </c>
      <c r="D547" s="83" t="s">
        <v>30</v>
      </c>
      <c r="E547" s="83" t="s">
        <v>936</v>
      </c>
    </row>
    <row r="548" spans="1:5" ht="30" x14ac:dyDescent="0.25">
      <c r="A548" s="84">
        <v>45862.509398148148</v>
      </c>
      <c r="B548" s="83">
        <v>93</v>
      </c>
      <c r="C548" s="83" t="s">
        <v>250</v>
      </c>
      <c r="D548" s="83" t="s">
        <v>30</v>
      </c>
      <c r="E548" s="83" t="s">
        <v>939</v>
      </c>
    </row>
    <row r="549" spans="1:5" ht="30" x14ac:dyDescent="0.25">
      <c r="A549" s="84">
        <v>45862.509398148148</v>
      </c>
      <c r="B549" s="83">
        <v>94</v>
      </c>
      <c r="C549" s="83" t="s">
        <v>255</v>
      </c>
      <c r="D549" s="83" t="s">
        <v>30</v>
      </c>
      <c r="E549" s="83" t="s">
        <v>940</v>
      </c>
    </row>
    <row r="550" spans="1:5" ht="30" x14ac:dyDescent="0.25">
      <c r="A550" s="84">
        <v>45862.509664351855</v>
      </c>
      <c r="B550" s="83">
        <v>96</v>
      </c>
      <c r="C550" s="83" t="s">
        <v>318</v>
      </c>
      <c r="D550" s="83" t="s">
        <v>30</v>
      </c>
      <c r="E550" s="83" t="s">
        <v>738</v>
      </c>
    </row>
    <row r="551" spans="1:5" ht="30" x14ac:dyDescent="0.25">
      <c r="A551" s="84">
        <v>45862.509664351855</v>
      </c>
      <c r="B551" s="83">
        <v>97</v>
      </c>
      <c r="C551" s="83" t="s">
        <v>323</v>
      </c>
      <c r="D551" s="83" t="s">
        <v>30</v>
      </c>
      <c r="E551" s="83" t="s">
        <v>749</v>
      </c>
    </row>
    <row r="552" spans="1:5" ht="45" x14ac:dyDescent="0.25">
      <c r="A552" s="84">
        <v>45862.509664351855</v>
      </c>
      <c r="B552" s="83">
        <v>98</v>
      </c>
      <c r="C552" s="83" t="s">
        <v>332</v>
      </c>
      <c r="D552" s="83" t="s">
        <v>30</v>
      </c>
      <c r="E552" s="83" t="s">
        <v>751</v>
      </c>
    </row>
    <row r="553" spans="1:5" ht="30" x14ac:dyDescent="0.25">
      <c r="A553" s="84">
        <v>45862.509675925925</v>
      </c>
      <c r="B553" s="83">
        <v>99</v>
      </c>
      <c r="C553" s="83" t="s">
        <v>357</v>
      </c>
      <c r="D553" s="83" t="s">
        <v>30</v>
      </c>
      <c r="E553" s="83" t="s">
        <v>937</v>
      </c>
    </row>
    <row r="554" spans="1:5" ht="30" x14ac:dyDescent="0.25">
      <c r="A554" s="84">
        <v>45862.509675925925</v>
      </c>
      <c r="B554" s="83">
        <v>100</v>
      </c>
      <c r="C554" s="83" t="s">
        <v>395</v>
      </c>
      <c r="D554" s="83" t="s">
        <v>30</v>
      </c>
      <c r="E554" s="83" t="s">
        <v>938</v>
      </c>
    </row>
    <row r="555" spans="1:5" ht="30" x14ac:dyDescent="0.25">
      <c r="A555" s="84">
        <v>45862.509675925925</v>
      </c>
      <c r="B555" s="83">
        <v>101</v>
      </c>
      <c r="C555" s="83" t="s">
        <v>382</v>
      </c>
      <c r="D555" s="83" t="s">
        <v>55</v>
      </c>
      <c r="E555" s="83" t="s">
        <v>948</v>
      </c>
    </row>
    <row r="556" spans="1:5" ht="30" x14ac:dyDescent="0.25">
      <c r="A556" s="84">
        <v>45867.342361111114</v>
      </c>
      <c r="B556" s="83">
        <v>103</v>
      </c>
      <c r="C556" s="83" t="s">
        <v>1008</v>
      </c>
      <c r="D556" s="83" t="s">
        <v>23</v>
      </c>
      <c r="E556" s="83"/>
    </row>
    <row r="557" spans="1:5" ht="30" x14ac:dyDescent="0.25">
      <c r="A557" s="84">
        <v>45867.496076388888</v>
      </c>
      <c r="B557" s="83">
        <v>52</v>
      </c>
      <c r="C557" s="83" t="s">
        <v>996</v>
      </c>
      <c r="D557" s="83" t="s">
        <v>23</v>
      </c>
      <c r="E557" s="83" t="s">
        <v>1015</v>
      </c>
    </row>
    <row r="558" spans="1:5" ht="30" x14ac:dyDescent="0.25">
      <c r="A558" s="84">
        <v>45868.586238425924</v>
      </c>
      <c r="B558" s="83">
        <v>82</v>
      </c>
      <c r="C558" s="83" t="s">
        <v>1019</v>
      </c>
      <c r="D558" s="83" t="s">
        <v>23</v>
      </c>
      <c r="E558" s="83"/>
    </row>
    <row r="559" spans="1:5" ht="30" x14ac:dyDescent="0.25">
      <c r="A559" s="84">
        <v>45883.575150462966</v>
      </c>
      <c r="B559" s="83">
        <v>92</v>
      </c>
      <c r="C559" s="83" t="s">
        <v>996</v>
      </c>
      <c r="D559" s="83" t="s">
        <v>944</v>
      </c>
      <c r="E559" s="83" t="s">
        <v>1083</v>
      </c>
    </row>
    <row r="560" spans="1:5" ht="30" x14ac:dyDescent="0.25">
      <c r="A560" s="84">
        <v>45883.576493055552</v>
      </c>
      <c r="B560" s="83">
        <v>51</v>
      </c>
      <c r="C560" s="83" t="s">
        <v>739</v>
      </c>
      <c r="D560" s="83" t="s">
        <v>23</v>
      </c>
      <c r="E560" s="83" t="s">
        <v>1069</v>
      </c>
    </row>
    <row r="561" spans="1:5" ht="45" x14ac:dyDescent="0.25">
      <c r="A561" s="84">
        <v>45883.576493055552</v>
      </c>
      <c r="B561" s="83">
        <v>53</v>
      </c>
      <c r="C561" s="83" t="s">
        <v>1008</v>
      </c>
      <c r="D561" s="83" t="s">
        <v>23</v>
      </c>
      <c r="E561" s="83" t="s">
        <v>1024</v>
      </c>
    </row>
    <row r="562" spans="1:5" ht="30" x14ac:dyDescent="0.25">
      <c r="A562" s="84">
        <v>45883.576504629629</v>
      </c>
      <c r="B562" s="83">
        <v>56</v>
      </c>
      <c r="C562" s="83" t="s">
        <v>117</v>
      </c>
      <c r="D562" s="83" t="s">
        <v>25</v>
      </c>
      <c r="E562" s="83" t="s">
        <v>858</v>
      </c>
    </row>
    <row r="563" spans="1:5" ht="30" x14ac:dyDescent="0.25">
      <c r="A563" s="84">
        <v>45883.576516203706</v>
      </c>
      <c r="B563" s="83">
        <v>81</v>
      </c>
      <c r="C563" s="83" t="s">
        <v>108</v>
      </c>
      <c r="D563" s="83" t="s">
        <v>25</v>
      </c>
      <c r="E563" s="83" t="s">
        <v>931</v>
      </c>
    </row>
    <row r="564" spans="1:5" ht="45" x14ac:dyDescent="0.25">
      <c r="A564" s="84">
        <v>45883.576527777775</v>
      </c>
      <c r="B564" s="83">
        <v>87</v>
      </c>
      <c r="C564" s="83" t="s">
        <v>122</v>
      </c>
      <c r="D564" s="83" t="s">
        <v>26</v>
      </c>
      <c r="E564" s="83" t="s">
        <v>1002</v>
      </c>
    </row>
    <row r="565" spans="1:5" ht="30" x14ac:dyDescent="0.25">
      <c r="A565" s="84">
        <v>45883.576527777775</v>
      </c>
      <c r="B565" s="83">
        <v>89</v>
      </c>
      <c r="C565" s="83" t="s">
        <v>193</v>
      </c>
      <c r="D565" s="83" t="s">
        <v>26</v>
      </c>
      <c r="E565" s="83" t="s">
        <v>1070</v>
      </c>
    </row>
    <row r="566" spans="1:5" ht="30" x14ac:dyDescent="0.25">
      <c r="A566" s="84">
        <v>45883.576539351852</v>
      </c>
      <c r="B566" s="83">
        <v>91</v>
      </c>
      <c r="C566" s="83" t="s">
        <v>602</v>
      </c>
      <c r="D566" s="83" t="s">
        <v>944</v>
      </c>
      <c r="E566" s="83" t="s">
        <v>947</v>
      </c>
    </row>
    <row r="567" spans="1:5" ht="30" x14ac:dyDescent="0.25">
      <c r="A567" s="84">
        <v>45883.576539351852</v>
      </c>
      <c r="B567" s="83">
        <v>92</v>
      </c>
      <c r="C567" s="83" t="s">
        <v>996</v>
      </c>
      <c r="D567" s="83" t="s">
        <v>944</v>
      </c>
      <c r="E567" s="83" t="s">
        <v>1083</v>
      </c>
    </row>
    <row r="568" spans="1:5" ht="30" x14ac:dyDescent="0.25">
      <c r="A568" s="84">
        <v>45883.576550925929</v>
      </c>
      <c r="B568" s="83">
        <v>95</v>
      </c>
      <c r="C568" s="83" t="s">
        <v>372</v>
      </c>
      <c r="D568" s="83" t="s">
        <v>27</v>
      </c>
      <c r="E568" s="83" t="s">
        <v>963</v>
      </c>
    </row>
    <row r="569" spans="1:5" ht="45" x14ac:dyDescent="0.25">
      <c r="A569" s="84">
        <v>45883.576550925929</v>
      </c>
      <c r="B569" s="83">
        <v>99</v>
      </c>
      <c r="C569" s="83" t="s">
        <v>318</v>
      </c>
      <c r="D569" s="83" t="s">
        <v>28</v>
      </c>
      <c r="E569" s="83" t="s">
        <v>1014</v>
      </c>
    </row>
    <row r="570" spans="1:5" ht="60" x14ac:dyDescent="0.25">
      <c r="A570" s="84">
        <v>45883.576574074075</v>
      </c>
      <c r="B570" s="83">
        <v>100</v>
      </c>
      <c r="C570" s="83" t="s">
        <v>225</v>
      </c>
      <c r="D570" s="83" t="s">
        <v>28</v>
      </c>
      <c r="E570" s="83" t="s">
        <v>1113</v>
      </c>
    </row>
    <row r="571" spans="1:5" ht="30" x14ac:dyDescent="0.25">
      <c r="A571" s="84">
        <v>45883.576574074075</v>
      </c>
      <c r="B571" s="83">
        <v>101</v>
      </c>
      <c r="C571" s="83" t="s">
        <v>280</v>
      </c>
      <c r="D571" s="83" t="s">
        <v>29</v>
      </c>
      <c r="E571" s="83" t="s">
        <v>1025</v>
      </c>
    </row>
    <row r="572" spans="1:5" ht="30" x14ac:dyDescent="0.25">
      <c r="A572" s="84">
        <v>45883.576585648145</v>
      </c>
      <c r="B572" s="83">
        <v>102</v>
      </c>
      <c r="C572" s="83" t="s">
        <v>250</v>
      </c>
      <c r="D572" s="83" t="s">
        <v>29</v>
      </c>
      <c r="E572" s="83" t="s">
        <v>1071</v>
      </c>
    </row>
    <row r="573" spans="1:5" ht="30" x14ac:dyDescent="0.25">
      <c r="A573" s="84">
        <v>45883.576597222222</v>
      </c>
      <c r="B573" s="83">
        <v>103</v>
      </c>
      <c r="C573" s="83" t="s">
        <v>255</v>
      </c>
      <c r="D573" s="83" t="s">
        <v>30</v>
      </c>
      <c r="E573" s="83" t="s">
        <v>1068</v>
      </c>
    </row>
    <row r="574" spans="1:5" ht="30" x14ac:dyDescent="0.25">
      <c r="A574" s="84">
        <v>45883.576608796298</v>
      </c>
      <c r="B574" s="83">
        <v>104</v>
      </c>
      <c r="C574" s="83" t="s">
        <v>295</v>
      </c>
      <c r="D574" s="83" t="s">
        <v>30</v>
      </c>
      <c r="E574" s="83" t="s">
        <v>1067</v>
      </c>
    </row>
    <row r="575" spans="1:5" ht="30" x14ac:dyDescent="0.25">
      <c r="A575" s="84">
        <v>45883.576608796298</v>
      </c>
      <c r="B575" s="83">
        <v>106</v>
      </c>
      <c r="C575" s="83" t="s">
        <v>323</v>
      </c>
      <c r="D575" s="83" t="s">
        <v>30</v>
      </c>
      <c r="E575" s="83" t="s">
        <v>1114</v>
      </c>
    </row>
    <row r="576" spans="1:5" ht="30" x14ac:dyDescent="0.25">
      <c r="A576" s="84">
        <v>45883.576620370368</v>
      </c>
      <c r="B576" s="83">
        <v>107</v>
      </c>
      <c r="C576" s="83" t="s">
        <v>332</v>
      </c>
      <c r="D576" s="83" t="s">
        <v>30</v>
      </c>
      <c r="E576" s="83" t="s">
        <v>1114</v>
      </c>
    </row>
    <row r="577" spans="1:5" ht="30" x14ac:dyDescent="0.25">
      <c r="A577" s="84">
        <v>45883.576620370368</v>
      </c>
      <c r="B577" s="83">
        <v>108</v>
      </c>
      <c r="C577" s="83" t="s">
        <v>395</v>
      </c>
      <c r="D577" s="83" t="s">
        <v>30</v>
      </c>
      <c r="E577" s="83" t="s">
        <v>1112</v>
      </c>
    </row>
    <row r="578" spans="1:5" ht="30" x14ac:dyDescent="0.25">
      <c r="A578" s="84">
        <v>45884.571423611109</v>
      </c>
      <c r="B578" s="83">
        <v>51</v>
      </c>
      <c r="C578" s="83" t="s">
        <v>739</v>
      </c>
      <c r="D578" s="83" t="s">
        <v>944</v>
      </c>
      <c r="E578" s="83" t="s">
        <v>1069</v>
      </c>
    </row>
    <row r="579" spans="1:5" ht="30" x14ac:dyDescent="0.25">
      <c r="A579" s="84">
        <v>45884.571631944447</v>
      </c>
      <c r="B579" s="83">
        <v>51</v>
      </c>
      <c r="C579" s="83" t="s">
        <v>739</v>
      </c>
      <c r="D579" s="83" t="s">
        <v>23</v>
      </c>
      <c r="E579" s="83" t="s">
        <v>1069</v>
      </c>
    </row>
    <row r="580" spans="1:5" ht="30" x14ac:dyDescent="0.25">
      <c r="A580" s="84">
        <v>45884.57744212963</v>
      </c>
      <c r="B580" s="83">
        <v>110</v>
      </c>
      <c r="C580" s="83" t="s">
        <v>1136</v>
      </c>
      <c r="D580" s="83" t="s">
        <v>23</v>
      </c>
      <c r="E580" s="83"/>
    </row>
    <row r="581" spans="1:5" ht="30" x14ac:dyDescent="0.25">
      <c r="A581" s="84">
        <v>45890.664085648146</v>
      </c>
      <c r="B581" s="83">
        <v>56</v>
      </c>
      <c r="C581" s="83" t="s">
        <v>1143</v>
      </c>
      <c r="D581" s="83" t="s">
        <v>23</v>
      </c>
      <c r="E581" s="83" t="s">
        <v>746</v>
      </c>
    </row>
    <row r="582" spans="1:5" ht="30" x14ac:dyDescent="0.25">
      <c r="A582" s="84">
        <v>45910.451145833336</v>
      </c>
      <c r="B582" s="83">
        <v>117</v>
      </c>
      <c r="C582" s="83" t="s">
        <v>1222</v>
      </c>
      <c r="D582" s="83" t="s">
        <v>23</v>
      </c>
      <c r="E582" s="83"/>
    </row>
    <row r="583" spans="1:5" ht="30" x14ac:dyDescent="0.25">
      <c r="A583" s="84">
        <v>45910.456678240742</v>
      </c>
      <c r="B583" s="83">
        <v>119</v>
      </c>
      <c r="C583" s="83" t="s">
        <v>1230</v>
      </c>
      <c r="D583" s="83" t="s">
        <v>23</v>
      </c>
      <c r="E583" s="83"/>
    </row>
    <row r="584" spans="1:5" ht="30" x14ac:dyDescent="0.25">
      <c r="A584" s="84">
        <v>45910.474502314813</v>
      </c>
      <c r="B584" s="83">
        <v>52</v>
      </c>
      <c r="C584" s="83" t="s">
        <v>1038</v>
      </c>
      <c r="D584" s="83" t="s">
        <v>1271</v>
      </c>
      <c r="E584" s="83" t="s">
        <v>1054</v>
      </c>
    </row>
    <row r="585" spans="1:5" ht="30" x14ac:dyDescent="0.25">
      <c r="A585" s="84">
        <v>45910.474502314813</v>
      </c>
      <c r="B585" s="83">
        <v>100</v>
      </c>
      <c r="C585" s="83" t="s">
        <v>175</v>
      </c>
      <c r="D585" s="83" t="s">
        <v>1271</v>
      </c>
      <c r="E585" s="83" t="s">
        <v>874</v>
      </c>
    </row>
    <row r="586" spans="1:5" ht="30" x14ac:dyDescent="0.25">
      <c r="A586" s="84">
        <v>45910.47451388889</v>
      </c>
      <c r="B586" s="83">
        <v>101</v>
      </c>
      <c r="C586" s="83" t="s">
        <v>220</v>
      </c>
      <c r="D586" s="83" t="s">
        <v>1271</v>
      </c>
      <c r="E586" s="83" t="s">
        <v>222</v>
      </c>
    </row>
    <row r="587" spans="1:5" ht="30" x14ac:dyDescent="0.25">
      <c r="A587" s="84">
        <v>45910.47451388889</v>
      </c>
      <c r="B587" s="83">
        <v>115</v>
      </c>
      <c r="C587" s="83" t="s">
        <v>1205</v>
      </c>
      <c r="D587" s="83" t="s">
        <v>1271</v>
      </c>
      <c r="E587" s="83"/>
    </row>
    <row r="588" spans="1:5" ht="30" x14ac:dyDescent="0.25">
      <c r="A588" s="84">
        <v>45910.47452546296</v>
      </c>
      <c r="B588" s="83">
        <v>116</v>
      </c>
      <c r="C588" s="83" t="s">
        <v>1208</v>
      </c>
      <c r="D588" s="83" t="s">
        <v>1271</v>
      </c>
      <c r="E588" s="83"/>
    </row>
    <row r="589" spans="1:5" ht="30" x14ac:dyDescent="0.25">
      <c r="A589" s="84">
        <v>45910.47452546296</v>
      </c>
      <c r="B589" s="83">
        <v>119</v>
      </c>
      <c r="C589" s="83" t="s">
        <v>1230</v>
      </c>
      <c r="D589" s="83" t="s">
        <v>1271</v>
      </c>
      <c r="E589" s="83"/>
    </row>
  </sheetData>
  <conditionalFormatting sqref="AG1">
    <cfRule type="cellIs" dxfId="27" priority="17" operator="equal">
      <formula>"Finalizado"</formula>
    </cfRule>
    <cfRule type="cellIs" dxfId="26" priority="18" operator="equal">
      <formula>"En curso"</formula>
    </cfRule>
  </conditionalFormatting>
  <conditionalFormatting sqref="R1:AR21 AS1">
    <cfRule type="expression" dxfId="25" priority="19" stopIfTrue="1">
      <formula>$S1="ITC"</formula>
    </cfRule>
    <cfRule type="expression" dxfId="24" priority="20" stopIfTrue="1">
      <formula>$S1="Ingesoft"</formula>
    </cfRule>
    <cfRule type="expression" dxfId="23" priority="21" stopIfTrue="1">
      <formula>$S1="TI"</formula>
    </cfRule>
  </conditionalFormatting>
  <conditionalFormatting sqref="AH2:AH21">
    <cfRule type="expression" dxfId="22" priority="4" stopIfTrue="1">
      <formula>$Q2="4. Pte Comité Compras"</formula>
    </cfRule>
    <cfRule type="expression" dxfId="21" priority="5" stopIfTrue="1">
      <formula>$Q2="0_Cancelado"</formula>
    </cfRule>
    <cfRule type="expression" dxfId="20" priority="6" stopIfTrue="1">
      <formula>$Q2="1.Ajuste de Requerimiento"</formula>
    </cfRule>
    <cfRule type="expression" dxfId="19" priority="7" stopIfTrue="1">
      <formula>$Q2="2.Reunión de entendimiento"</formula>
    </cfRule>
    <cfRule type="expression" dxfId="18" priority="8" stopIfTrue="1">
      <formula>$Q2="3.Propuesta Comercial"</formula>
    </cfRule>
    <cfRule type="expression" dxfId="17" priority="9" stopIfTrue="1">
      <formula>$Q2="5.Entrega Desarrollo"</formula>
    </cfRule>
    <cfRule type="expression" dxfId="16" priority="10" stopIfTrue="1">
      <formula>$Q2="6.Instalación en Pruebas"</formula>
    </cfRule>
    <cfRule type="expression" dxfId="15" priority="11" stopIfTrue="1">
      <formula>$Q2="7.Elaboración Escenarios de prueba"</formula>
    </cfRule>
    <cfRule type="expression" dxfId="14" priority="12" stopIfTrue="1">
      <formula>$Q2="8.Certificación Escenarios Pruebas"</formula>
    </cfRule>
    <cfRule type="expression" dxfId="13" priority="13" stopIfTrue="1">
      <formula>$Q2="9.Autorización Paso a Producción"</formula>
    </cfRule>
    <cfRule type="expression" dxfId="12" priority="14" stopIfTrue="1">
      <formula>$Q2="10.En Producción"</formula>
    </cfRule>
  </conditionalFormatting>
  <conditionalFormatting sqref="S2:S21">
    <cfRule type="duplicateValues" dxfId="11" priority="15"/>
  </conditionalFormatting>
  <conditionalFormatting sqref="X2:X21">
    <cfRule type="cellIs" dxfId="10" priority="1" operator="lessThan">
      <formula>38</formula>
    </cfRule>
    <cfRule type="cellIs" dxfId="9" priority="2" operator="between">
      <formula>39</formula>
      <formula>45</formula>
    </cfRule>
    <cfRule type="cellIs" dxfId="8" priority="3" operator="greaterThan">
      <formula>45</formula>
    </cfRule>
  </conditionalFormatting>
  <dataValidations count="1">
    <dataValidation type="list" allowBlank="1" showInputMessage="1" showErrorMessage="1" sqref="AH2:AH21" xr:uid="{0B93804E-C78E-41C1-8A5F-55370CC51A32}">
      <formula1>$AA$2:$AA$12</formula1>
    </dataValidation>
  </dataValidations>
  <hyperlinks>
    <hyperlink ref="AM2" r:id="rId1" xr:uid="{C6000471-1ED3-4CC8-9A65-7814D2F85D7E}"/>
    <hyperlink ref="AM3" r:id="rId2" xr:uid="{A50F0540-3F8E-405C-A723-C9E2FAACA182}"/>
    <hyperlink ref="AM4" r:id="rId3" xr:uid="{FCA8C7D4-3D06-4A76-8607-AA4BDB70AC78}"/>
    <hyperlink ref="AM6" r:id="rId4" xr:uid="{5F7BC2C5-E861-4060-B1BB-0B7C966FB70A}"/>
    <hyperlink ref="AM5" r:id="rId5" xr:uid="{3EC4AECC-9839-4109-8EDA-B1B9CABFC1D0}"/>
    <hyperlink ref="AM7" r:id="rId6" xr:uid="{E728ACF7-5BCE-4448-AFB6-DFA3143FA450}"/>
    <hyperlink ref="AM8" r:id="rId7" xr:uid="{ECE2BCD9-88B3-4D1F-AA84-6BDAC747AF14}"/>
    <hyperlink ref="AM9" r:id="rId8" xr:uid="{6D340C57-0AC2-444A-9D7C-D5F4CD858A08}"/>
    <hyperlink ref="AM10" r:id="rId9" xr:uid="{CDC8F893-D09B-4840-AB45-2A847DE0E668}"/>
    <hyperlink ref="AM11" r:id="rId10" xr:uid="{528DFA7B-0866-4843-A37A-CE8B7CB61142}"/>
    <hyperlink ref="AM16" r:id="rId11" xr:uid="{081B29ED-E549-4CD4-B157-DAC1D485B90C}"/>
    <hyperlink ref="AM14" r:id="rId12" xr:uid="{F1B4E381-9814-4C3B-9C2B-124DE875D138}"/>
    <hyperlink ref="AM15" r:id="rId13" xr:uid="{D23DABC6-622C-4FAF-8ED4-5A29CB5DD1B9}"/>
    <hyperlink ref="AM12" r:id="rId14" xr:uid="{AC1A34EB-74E3-4330-B818-1DD41087FDA8}"/>
    <hyperlink ref="AM13" r:id="rId15" xr:uid="{4593EAE6-9E15-4B08-8EB3-78527D0EDC0E}"/>
    <hyperlink ref="AM18" r:id="rId16" xr:uid="{3A14159B-F747-42B6-A274-52CFB680975F}"/>
    <hyperlink ref="AM21" r:id="rId17" xr:uid="{5C2E93A0-839A-4CCB-A212-391CA0C3010F}"/>
    <hyperlink ref="AM17" r:id="rId18" xr:uid="{C998F6CE-F69C-43BC-A416-E55C856BD108}"/>
    <hyperlink ref="AM19" r:id="rId19" xr:uid="{897350CA-0779-45AC-827A-E24EBFC242E9}"/>
    <hyperlink ref="AM20" r:id="rId20" xr:uid="{20CF63E6-6B85-445E-A475-F8D155DEB0CC}"/>
  </hyperlinks>
  <pageMargins left="0.7" right="0.7" top="0.75" bottom="0.75" header="0.3" footer="0.3"/>
  <tableParts count="2">
    <tablePart r:id="rId21"/>
    <tablePart r:id="rId22"/>
  </tableParts>
  <extLst>
    <ext xmlns:x14="http://schemas.microsoft.com/office/spreadsheetml/2009/9/main" uri="{78C0D931-6437-407d-A8EE-F0AAD7539E65}">
      <x14:conditionalFormattings>
        <x14:conditionalFormatting xmlns:xm="http://schemas.microsoft.com/office/excel/2006/main">
          <x14:cfRule type="iconSet" priority="16" id="{F36F92C2-C638-4DEB-8622-59092FB52C0E}">
            <x14:iconSet iconSet="3Symbols2" showValue="0" custom="1">
              <x14:cfvo type="percent">
                <xm:f>0</xm:f>
              </x14:cfvo>
              <x14:cfvo type="num">
                <xm:f>0</xm:f>
              </x14:cfvo>
              <x14:cfvo type="num">
                <xm:f>1</xm:f>
              </x14:cfvo>
              <x14:cfIcon iconSet="NoIcons" iconId="0"/>
              <x14:cfIcon iconSet="3Symbols2" iconId="0"/>
              <x14:cfIcon iconSet="3Symbols2" iconId="2"/>
            </x14:iconSet>
          </x14:cfRule>
          <xm:sqref>AP2:AP21</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46D6C3514F912478D1A58042167E0AE" ma:contentTypeVersion="10" ma:contentTypeDescription="Create a new document." ma:contentTypeScope="" ma:versionID="d97fd93d96af19d4930f5aeef9d80582">
  <xsd:schema xmlns:xsd="http://www.w3.org/2001/XMLSchema" xmlns:xs="http://www.w3.org/2001/XMLSchema" xmlns:p="http://schemas.microsoft.com/office/2006/metadata/properties" xmlns:ns3="fd263e37-8d7a-404e-aa7e-548a3077f650" targetNamespace="http://schemas.microsoft.com/office/2006/metadata/properties" ma:root="true" ma:fieldsID="dd83d06d3e12ecdf10efe8a75a2d50b8" ns3:_="">
    <xsd:import namespace="fd263e37-8d7a-404e-aa7e-548a3077f65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SystemTags" minOccurs="0"/>
                <xsd:element ref="ns3:MediaServiceGenerationTime" minOccurs="0"/>
                <xsd:element ref="ns3:MediaServiceEventHashCode" minOccurs="0"/>
                <xsd:element ref="ns3:MediaLengthInSeconds" minOccurs="0"/>
                <xsd:element ref="ns3:MediaServiceOCR"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263e37-8d7a-404e-aa7e-548a3077f65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SystemTags" ma:index="12" nillable="true" ma:displayName="MediaServiceSystemTags" ma:hidden="true" ma:internalName="MediaServiceSystemTags"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OCR" ma:index="16" nillable="true" ma:displayName="Extracted Text" ma:internalName="MediaServiceOCR" ma:readOnly="true">
      <xsd:simpleType>
        <xsd:restriction base="dms:Note">
          <xsd:maxLength value="255"/>
        </xsd:restriction>
      </xsd:simpleType>
    </xsd:element>
    <xsd:element name="_activity" ma:index="17"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activity xmlns="fd263e37-8d7a-404e-aa7e-548a3077f650" xsi:nil="true"/>
  </documentManagement>
</p:properties>
</file>

<file path=customXml/item5.xml><?xml version="1.0" encoding="utf-8"?>
<scriptIds xmlns="http://schemas.microsoft.com/office/extensibility/maker/v1.0" id="script-ids-node-id">
  <scriptId id="ms-officescript%3A%2F%2Fonedrive_business_itemlink%2F01OUAKG64WJ5NXO54XGVGLWQF6AKZGZDE2:ms-officescript%3A%2F%2Fonedrive_business_sharinglink%2Fu!aHR0cHM6Ly9ncnVwb2Nvb21ldmEtbXkuc2hhcmVwb2ludC5jb20vOnU6L2cvcGVyc29uYWwvbGVydjgwOTNfY29vbWV2YV9jb21fY28vRVpaUFczZDNselZNdTBDLUFySnNqSm9CYlNOUU50ckFBQVotSVRRQ25pZ05mQQ"/>
</scriptIds>
</file>

<file path=customXml/itemProps1.xml><?xml version="1.0" encoding="utf-8"?>
<ds:datastoreItem xmlns:ds="http://schemas.openxmlformats.org/officeDocument/2006/customXml" ds:itemID="{AECFD5BA-A741-411D-BA75-3E7FF56FBE0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263e37-8d7a-404e-aa7e-548a3077f6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742202-6628-4F30-85DB-7A5611157F43}">
  <ds:schemaRefs>
    <ds:schemaRef ds:uri="http://schemas.microsoft.com/sharepoint/v3/contenttype/forms"/>
  </ds:schemaRefs>
</ds:datastoreItem>
</file>

<file path=customXml/itemProps3.xml><?xml version="1.0" encoding="utf-8"?>
<ds:datastoreItem xmlns:ds="http://schemas.openxmlformats.org/officeDocument/2006/customXml" ds:itemID="{D3845617-E752-416F-A79D-6456F7EAC3A1}">
  <ds:schemaRefs>
    <ds:schemaRef ds:uri="http://schemas.microsoft.com/DataMashup"/>
  </ds:schemaRefs>
</ds:datastoreItem>
</file>

<file path=customXml/itemProps4.xml><?xml version="1.0" encoding="utf-8"?>
<ds:datastoreItem xmlns:ds="http://schemas.openxmlformats.org/officeDocument/2006/customXml" ds:itemID="{FD762A56-8F68-4A52-A8FB-30E5AAD952D2}">
  <ds:schemaRefs>
    <ds:schemaRef ds:uri="http://schemas.microsoft.com/office/2006/metadata/properties"/>
    <ds:schemaRef ds:uri="http://schemas.microsoft.com/office/infopath/2007/PartnerControls"/>
    <ds:schemaRef ds:uri="fd263e37-8d7a-404e-aa7e-548a3077f650"/>
  </ds:schemaRefs>
</ds:datastoreItem>
</file>

<file path=customXml/itemProps5.xml><?xml version="1.0" encoding="utf-8"?>
<ds:datastoreItem xmlns:ds="http://schemas.openxmlformats.org/officeDocument/2006/customXml" ds:itemID="{4F30515E-E330-462B-8A1D-9330AF2DD4ED}">
  <ds:schemaRefs>
    <ds:schemaRef ds:uri="http://schemas.microsoft.com/office/extensibility/maker/v1.0"/>
  </ds:schemaRefs>
</ds:datastoreItem>
</file>

<file path=docMetadata/LabelInfo.xml><?xml version="1.0" encoding="utf-8"?>
<clbl:labelList xmlns:clbl="http://schemas.microsoft.com/office/2020/mipLabelMetadata">
  <clbl:label id="{09dd2e65-d6de-461b-b71e-a7b9bfcbafe8}" enabled="0" method="" siteId="{09dd2e65-d6de-461b-b71e-a7b9bfcbafe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2</vt:i4>
      </vt:variant>
    </vt:vector>
  </HeadingPairs>
  <TitlesOfParts>
    <vt:vector size="12" baseType="lpstr">
      <vt:lpstr>INST-PRUEBAS</vt:lpstr>
      <vt:lpstr>Entrega</vt:lpstr>
      <vt:lpstr>Hoja3</vt:lpstr>
      <vt:lpstr>Hoja2</vt:lpstr>
      <vt:lpstr>Prioridades</vt:lpstr>
      <vt:lpstr>Rendicion De cuentas</vt:lpstr>
      <vt:lpstr>Exporte_Normalizado</vt:lpstr>
      <vt:lpstr>Exporte 1</vt:lpstr>
      <vt:lpstr>Hoja1</vt:lpstr>
      <vt:lpstr>Log</vt:lpstr>
      <vt:lpstr>Database</vt:lpstr>
      <vt:lpstr>HOY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Carvajal Aguilar</dc:creator>
  <cp:keywords/>
  <dc:description/>
  <cp:lastModifiedBy>Luis Enrique Rojas Villota</cp:lastModifiedBy>
  <cp:revision/>
  <dcterms:created xsi:type="dcterms:W3CDTF">2025-05-05T14:44:07Z</dcterms:created>
  <dcterms:modified xsi:type="dcterms:W3CDTF">2025-09-12T16:11:32Z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0x010100B46D6C3514F912478D1A58042167E0AE</vt:lpwstr>
  </property>
</Properties>
</file>